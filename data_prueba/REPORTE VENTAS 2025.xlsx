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DP 2025\"/>
    </mc:Choice>
  </mc:AlternateContent>
  <xr:revisionPtr revIDLastSave="0" documentId="13_ncr:1_{3D45DE5B-2E42-4C8C-86F1-864FB9ED3C88}" xr6:coauthVersionLast="47" xr6:coauthVersionMax="47" xr10:uidLastSave="{00000000-0000-0000-0000-000000000000}"/>
  <bookViews>
    <workbookView xWindow="-108" yWindow="-108" windowWidth="23256" windowHeight="12456" firstSheet="2" activeTab="11" xr2:uid="{463A8146-D167-4542-880D-13576AC804B4}"/>
  </bookViews>
  <sheets>
    <sheet name="ENERO" sheetId="2" r:id="rId1"/>
    <sheet name="FEBRERO" sheetId="3" r:id="rId2"/>
    <sheet name="MARZO" sheetId="4" r:id="rId3"/>
    <sheet name="ABRIL" sheetId="6" r:id="rId4"/>
    <sheet name="MAYO" sheetId="7" r:id="rId5"/>
    <sheet name="JUNIO" sheetId="8" r:id="rId6"/>
    <sheet name="JULIO" sheetId="9" r:id="rId7"/>
    <sheet name="AGOSTO" sheetId="10" r:id="rId8"/>
    <sheet name="SEPTIEMBRE" sheetId="11" r:id="rId9"/>
    <sheet name="OCTUBRE" sheetId="12" r:id="rId10"/>
    <sheet name="NOVIEMBRE" sheetId="13" r:id="rId11"/>
    <sheet name="DICIEMBRE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" i="14" l="1"/>
  <c r="Q20" i="14" l="1"/>
  <c r="R20" i="14" s="1"/>
  <c r="Q5" i="14"/>
  <c r="R5" i="14" s="1"/>
  <c r="Q6" i="14"/>
  <c r="Q7" i="14"/>
  <c r="Q8" i="14"/>
  <c r="R8" i="14" s="1"/>
  <c r="Q9" i="14"/>
  <c r="R9" i="14" s="1"/>
  <c r="Q10" i="14"/>
  <c r="Q11" i="14"/>
  <c r="Q12" i="14"/>
  <c r="Q13" i="14"/>
  <c r="Q14" i="14"/>
  <c r="Q15" i="14"/>
  <c r="Q16" i="14"/>
  <c r="R16" i="14" s="1"/>
  <c r="Q17" i="14"/>
  <c r="Q18" i="14"/>
  <c r="R18" i="14" s="1"/>
  <c r="Q4" i="14"/>
  <c r="R4" i="14" s="1"/>
  <c r="R61" i="14"/>
  <c r="J64" i="14"/>
  <c r="I64" i="14"/>
  <c r="J62" i="14"/>
  <c r="I62" i="14"/>
  <c r="AM61" i="14"/>
  <c r="AL61" i="14"/>
  <c r="AH61" i="14"/>
  <c r="AG61" i="14"/>
  <c r="Z61" i="14"/>
  <c r="Y61" i="14"/>
  <c r="Q61" i="14"/>
  <c r="J61" i="14"/>
  <c r="I61" i="14"/>
  <c r="AG60" i="14"/>
  <c r="AH60" i="14" s="1"/>
  <c r="Y60" i="14"/>
  <c r="Z60" i="14" s="1"/>
  <c r="Q60" i="14"/>
  <c r="J60" i="14"/>
  <c r="I60" i="14"/>
  <c r="AG59" i="14"/>
  <c r="AH59" i="14" s="1"/>
  <c r="AL59" i="14" s="1"/>
  <c r="AM59" i="14" s="1"/>
  <c r="Y59" i="14"/>
  <c r="Z59" i="14" s="1"/>
  <c r="Q59" i="14"/>
  <c r="R59" i="14" s="1"/>
  <c r="J59" i="14"/>
  <c r="I59" i="14"/>
  <c r="AG58" i="14"/>
  <c r="AH58" i="14" s="1"/>
  <c r="AL58" i="14" s="1"/>
  <c r="AM58" i="14" s="1"/>
  <c r="Y58" i="14"/>
  <c r="Z58" i="14" s="1"/>
  <c r="Q58" i="14"/>
  <c r="R58" i="14" s="1"/>
  <c r="J58" i="14"/>
  <c r="I58" i="14"/>
  <c r="AG57" i="14"/>
  <c r="Y57" i="14"/>
  <c r="Z57" i="14" s="1"/>
  <c r="Q57" i="14"/>
  <c r="R57" i="14" s="1"/>
  <c r="J57" i="14"/>
  <c r="I57" i="14"/>
  <c r="AG56" i="14"/>
  <c r="AH56" i="14" s="1"/>
  <c r="Y56" i="14"/>
  <c r="Z56" i="14" s="1"/>
  <c r="Q56" i="14"/>
  <c r="R56" i="14" s="1"/>
  <c r="J56" i="14"/>
  <c r="I56" i="14"/>
  <c r="AG52" i="14"/>
  <c r="J52" i="14"/>
  <c r="I52" i="14"/>
  <c r="J51" i="14"/>
  <c r="I51" i="14"/>
  <c r="J50" i="14"/>
  <c r="I50" i="14"/>
  <c r="J48" i="14"/>
  <c r="I48" i="14"/>
  <c r="AM47" i="14"/>
  <c r="AM52" i="14" s="1"/>
  <c r="AL47" i="14"/>
  <c r="AL52" i="14" s="1"/>
  <c r="AG47" i="14"/>
  <c r="AH47" i="14" s="1"/>
  <c r="AH52" i="14" s="1"/>
  <c r="Y47" i="14"/>
  <c r="Y52" i="14" s="1"/>
  <c r="Q47" i="14"/>
  <c r="R47" i="14" s="1"/>
  <c r="R52" i="14" s="1"/>
  <c r="J47" i="14"/>
  <c r="I47" i="14"/>
  <c r="AL46" i="14"/>
  <c r="AH46" i="14"/>
  <c r="AG46" i="14"/>
  <c r="Y46" i="14"/>
  <c r="Y51" i="14" s="1"/>
  <c r="Q46" i="14"/>
  <c r="R46" i="14" s="1"/>
  <c r="J46" i="14"/>
  <c r="I46" i="14"/>
  <c r="AM45" i="14"/>
  <c r="AL45" i="14"/>
  <c r="AH45" i="14"/>
  <c r="AG45" i="14"/>
  <c r="Z45" i="14"/>
  <c r="Y45" i="14"/>
  <c r="Q45" i="14"/>
  <c r="R45" i="14" s="1"/>
  <c r="J45" i="14"/>
  <c r="I45" i="14"/>
  <c r="AL44" i="14"/>
  <c r="AM44" i="14" s="1"/>
  <c r="AG44" i="14"/>
  <c r="AG51" i="14" s="1"/>
  <c r="Z44" i="14"/>
  <c r="Y44" i="14"/>
  <c r="R44" i="14"/>
  <c r="Q44" i="14"/>
  <c r="J44" i="14"/>
  <c r="I44" i="14"/>
  <c r="AM43" i="14"/>
  <c r="AL43" i="14"/>
  <c r="AH43" i="14"/>
  <c r="AG43" i="14"/>
  <c r="Z43" i="14"/>
  <c r="Y43" i="14"/>
  <c r="R43" i="14"/>
  <c r="Q43" i="14"/>
  <c r="J43" i="14"/>
  <c r="I43" i="14"/>
  <c r="AM42" i="14"/>
  <c r="AL42" i="14"/>
  <c r="AH42" i="14"/>
  <c r="AG42" i="14"/>
  <c r="Z42" i="14"/>
  <c r="Y42" i="14"/>
  <c r="R42" i="14"/>
  <c r="Q42" i="14"/>
  <c r="J42" i="14"/>
  <c r="I42" i="14"/>
  <c r="AM41" i="14"/>
  <c r="AL41" i="14"/>
  <c r="AH41" i="14"/>
  <c r="AG41" i="14"/>
  <c r="Z41" i="14"/>
  <c r="Y41" i="14"/>
  <c r="R41" i="14"/>
  <c r="Q41" i="14"/>
  <c r="J41" i="14"/>
  <c r="I41" i="14"/>
  <c r="AM40" i="14"/>
  <c r="AL40" i="14"/>
  <c r="AH40" i="14"/>
  <c r="AG40" i="14"/>
  <c r="Z40" i="14"/>
  <c r="Y40" i="14"/>
  <c r="R40" i="14"/>
  <c r="Q40" i="14"/>
  <c r="J40" i="14"/>
  <c r="I40" i="14"/>
  <c r="AM39" i="14"/>
  <c r="AL39" i="14"/>
  <c r="AH39" i="14"/>
  <c r="AG39" i="14"/>
  <c r="Z39" i="14"/>
  <c r="Y39" i="14"/>
  <c r="R39" i="14"/>
  <c r="Q39" i="14"/>
  <c r="J39" i="14"/>
  <c r="I39" i="14"/>
  <c r="AM38" i="14"/>
  <c r="AL38" i="14"/>
  <c r="AH38" i="14"/>
  <c r="AG38" i="14"/>
  <c r="Z38" i="14"/>
  <c r="Y38" i="14"/>
  <c r="R38" i="14"/>
  <c r="Q38" i="14"/>
  <c r="J38" i="14"/>
  <c r="I38" i="14"/>
  <c r="AM37" i="14"/>
  <c r="AL37" i="14"/>
  <c r="AH37" i="14"/>
  <c r="AG37" i="14"/>
  <c r="Z37" i="14"/>
  <c r="Y37" i="14"/>
  <c r="R37" i="14"/>
  <c r="Q37" i="14"/>
  <c r="J37" i="14"/>
  <c r="I37" i="14"/>
  <c r="AM36" i="14"/>
  <c r="AL36" i="14"/>
  <c r="AH36" i="14"/>
  <c r="AG36" i="14"/>
  <c r="Z36" i="14"/>
  <c r="Y36" i="14"/>
  <c r="R36" i="14"/>
  <c r="Q36" i="14"/>
  <c r="J36" i="14"/>
  <c r="I36" i="14"/>
  <c r="AM35" i="14"/>
  <c r="AL35" i="14"/>
  <c r="AH35" i="14"/>
  <c r="AG35" i="14"/>
  <c r="Y35" i="14"/>
  <c r="Z35" i="14" s="1"/>
  <c r="R35" i="14"/>
  <c r="Q35" i="14"/>
  <c r="J35" i="14"/>
  <c r="I35" i="14"/>
  <c r="AM34" i="14"/>
  <c r="AL34" i="14"/>
  <c r="AH34" i="14"/>
  <c r="AG34" i="14"/>
  <c r="Z34" i="14"/>
  <c r="Y34" i="14"/>
  <c r="R34" i="14"/>
  <c r="Q34" i="14"/>
  <c r="J34" i="14"/>
  <c r="I34" i="14"/>
  <c r="AM33" i="14"/>
  <c r="AL33" i="14"/>
  <c r="AH33" i="14"/>
  <c r="AG33" i="14"/>
  <c r="Z33" i="14"/>
  <c r="Y33" i="14"/>
  <c r="R33" i="14"/>
  <c r="Q33" i="14"/>
  <c r="J33" i="14"/>
  <c r="I33" i="14"/>
  <c r="AM32" i="14"/>
  <c r="AL32" i="14"/>
  <c r="AH32" i="14"/>
  <c r="AG32" i="14"/>
  <c r="Z32" i="14"/>
  <c r="Y32" i="14"/>
  <c r="R32" i="14"/>
  <c r="Q32" i="14"/>
  <c r="J32" i="14"/>
  <c r="I32" i="14"/>
  <c r="AM31" i="14"/>
  <c r="AL31" i="14"/>
  <c r="AH31" i="14"/>
  <c r="AG31" i="14"/>
  <c r="Z31" i="14"/>
  <c r="Y31" i="14"/>
  <c r="R31" i="14"/>
  <c r="Q31" i="14"/>
  <c r="J31" i="14"/>
  <c r="I31" i="14"/>
  <c r="AL30" i="14"/>
  <c r="AM30" i="14" s="1"/>
  <c r="AG30" i="14"/>
  <c r="AH30" i="14" s="1"/>
  <c r="Y30" i="14"/>
  <c r="Z30" i="14" s="1"/>
  <c r="R30" i="14"/>
  <c r="Q30" i="14"/>
  <c r="J30" i="14"/>
  <c r="I30" i="14"/>
  <c r="AM29" i="14"/>
  <c r="AL29" i="14"/>
  <c r="AG29" i="14"/>
  <c r="AH29" i="14" s="1"/>
  <c r="Z29" i="14"/>
  <c r="Y29" i="14"/>
  <c r="R29" i="14"/>
  <c r="Q29" i="14"/>
  <c r="J29" i="14"/>
  <c r="I29" i="14"/>
  <c r="AM28" i="14"/>
  <c r="AL28" i="14"/>
  <c r="AG28" i="14"/>
  <c r="AH28" i="14" s="1"/>
  <c r="Z28" i="14"/>
  <c r="Y28" i="14"/>
  <c r="R28" i="14"/>
  <c r="Q28" i="14"/>
  <c r="J28" i="14"/>
  <c r="I28" i="14"/>
  <c r="AM27" i="14"/>
  <c r="AL27" i="14"/>
  <c r="AH27" i="14"/>
  <c r="AG27" i="14"/>
  <c r="Z27" i="14"/>
  <c r="Y27" i="14"/>
  <c r="R27" i="14"/>
  <c r="Q27" i="14"/>
  <c r="J27" i="14"/>
  <c r="I27" i="14"/>
  <c r="AM26" i="14"/>
  <c r="AL26" i="14"/>
  <c r="AH26" i="14"/>
  <c r="AG26" i="14"/>
  <c r="Z26" i="14"/>
  <c r="Y26" i="14"/>
  <c r="R26" i="14"/>
  <c r="Q26" i="14"/>
  <c r="J26" i="14"/>
  <c r="I26" i="14"/>
  <c r="AM25" i="14"/>
  <c r="AL25" i="14"/>
  <c r="AG25" i="14"/>
  <c r="AH25" i="14" s="1"/>
  <c r="Z25" i="14"/>
  <c r="Y25" i="14"/>
  <c r="R25" i="14"/>
  <c r="Q25" i="14"/>
  <c r="J25" i="14"/>
  <c r="I25" i="14"/>
  <c r="AM24" i="14"/>
  <c r="AL24" i="14"/>
  <c r="AH24" i="14"/>
  <c r="AG24" i="14"/>
  <c r="Z24" i="14"/>
  <c r="Y24" i="14"/>
  <c r="R24" i="14"/>
  <c r="Q24" i="14"/>
  <c r="J24" i="14"/>
  <c r="I24" i="14"/>
  <c r="AL23" i="14"/>
  <c r="AM23" i="14" s="1"/>
  <c r="AG23" i="14"/>
  <c r="AH23" i="14" s="1"/>
  <c r="Y23" i="14"/>
  <c r="Z23" i="14" s="1"/>
  <c r="R23" i="14"/>
  <c r="Q23" i="14"/>
  <c r="J23" i="14"/>
  <c r="I23" i="14"/>
  <c r="AL22" i="14"/>
  <c r="AM22" i="14" s="1"/>
  <c r="AG22" i="14"/>
  <c r="AH22" i="14" s="1"/>
  <c r="Z22" i="14"/>
  <c r="Y22" i="14"/>
  <c r="R22" i="14"/>
  <c r="Q22" i="14"/>
  <c r="J22" i="14"/>
  <c r="I22" i="14"/>
  <c r="AM21" i="14"/>
  <c r="AL21" i="14"/>
  <c r="AG21" i="14"/>
  <c r="AH21" i="14" s="1"/>
  <c r="Z21" i="14"/>
  <c r="Y21" i="14"/>
  <c r="Q21" i="14"/>
  <c r="R21" i="14" s="1"/>
  <c r="J21" i="14"/>
  <c r="I21" i="14"/>
  <c r="AL20" i="14"/>
  <c r="AG20" i="14"/>
  <c r="Y20" i="14"/>
  <c r="Z20" i="14" s="1"/>
  <c r="J20" i="14"/>
  <c r="I20" i="14"/>
  <c r="J19" i="14"/>
  <c r="I19" i="14"/>
  <c r="AM18" i="14"/>
  <c r="AL18" i="14"/>
  <c r="AH18" i="14"/>
  <c r="AG18" i="14"/>
  <c r="Z18" i="14"/>
  <c r="Y18" i="14"/>
  <c r="J18" i="14"/>
  <c r="I18" i="14"/>
  <c r="AM17" i="14"/>
  <c r="AL17" i="14"/>
  <c r="AG17" i="14"/>
  <c r="AH17" i="14" s="1"/>
  <c r="Z17" i="14"/>
  <c r="Y17" i="14"/>
  <c r="R17" i="14"/>
  <c r="J17" i="14"/>
  <c r="I17" i="14"/>
  <c r="AL16" i="14"/>
  <c r="AM16" i="14" s="1"/>
  <c r="AH16" i="14"/>
  <c r="AG16" i="14"/>
  <c r="Z16" i="14"/>
  <c r="Y16" i="14"/>
  <c r="I16" i="14"/>
  <c r="AM15" i="14"/>
  <c r="AL15" i="14"/>
  <c r="AG15" i="14"/>
  <c r="AH15" i="14" s="1"/>
  <c r="Z15" i="14"/>
  <c r="Y15" i="14"/>
  <c r="R15" i="14"/>
  <c r="J15" i="14"/>
  <c r="I15" i="14"/>
  <c r="AL14" i="14"/>
  <c r="AM14" i="14" s="1"/>
  <c r="AG14" i="14"/>
  <c r="AH14" i="14" s="1"/>
  <c r="Y14" i="14"/>
  <c r="Z14" i="14" s="1"/>
  <c r="R14" i="14"/>
  <c r="J14" i="14"/>
  <c r="I14" i="14"/>
  <c r="AL13" i="14"/>
  <c r="AM13" i="14" s="1"/>
  <c r="AG13" i="14"/>
  <c r="AH13" i="14" s="1"/>
  <c r="Y13" i="14"/>
  <c r="Z13" i="14" s="1"/>
  <c r="R13" i="14"/>
  <c r="J13" i="14"/>
  <c r="I13" i="14"/>
  <c r="AL12" i="14"/>
  <c r="AM12" i="14" s="1"/>
  <c r="AG12" i="14"/>
  <c r="AH12" i="14" s="1"/>
  <c r="Y12" i="14"/>
  <c r="Z12" i="14" s="1"/>
  <c r="R12" i="14"/>
  <c r="J12" i="14"/>
  <c r="I12" i="14"/>
  <c r="AL11" i="14"/>
  <c r="AM11" i="14" s="1"/>
  <c r="AG11" i="14"/>
  <c r="AH11" i="14" s="1"/>
  <c r="Y11" i="14"/>
  <c r="Z11" i="14" s="1"/>
  <c r="J11" i="14"/>
  <c r="I11" i="14"/>
  <c r="AL10" i="14"/>
  <c r="AM10" i="14" s="1"/>
  <c r="AG10" i="14"/>
  <c r="AH10" i="14" s="1"/>
  <c r="Y10" i="14"/>
  <c r="Z10" i="14" s="1"/>
  <c r="R10" i="14"/>
  <c r="J10" i="14"/>
  <c r="I10" i="14"/>
  <c r="AL9" i="14"/>
  <c r="AM9" i="14" s="1"/>
  <c r="AG9" i="14"/>
  <c r="AH9" i="14" s="1"/>
  <c r="Y9" i="14"/>
  <c r="Z9" i="14" s="1"/>
  <c r="J9" i="14"/>
  <c r="I9" i="14"/>
  <c r="AL8" i="14"/>
  <c r="AM8" i="14" s="1"/>
  <c r="AG8" i="14"/>
  <c r="AH8" i="14" s="1"/>
  <c r="Y8" i="14"/>
  <c r="Z8" i="14" s="1"/>
  <c r="J8" i="14"/>
  <c r="I8" i="14"/>
  <c r="AL7" i="14"/>
  <c r="AM7" i="14" s="1"/>
  <c r="AG7" i="14"/>
  <c r="AH7" i="14" s="1"/>
  <c r="Y7" i="14"/>
  <c r="Z7" i="14" s="1"/>
  <c r="R7" i="14"/>
  <c r="J7" i="14"/>
  <c r="I7" i="14"/>
  <c r="AL6" i="14"/>
  <c r="AM6" i="14" s="1"/>
  <c r="AG6" i="14"/>
  <c r="AH6" i="14" s="1"/>
  <c r="Y6" i="14"/>
  <c r="Z6" i="14" s="1"/>
  <c r="R6" i="14"/>
  <c r="J6" i="14"/>
  <c r="I6" i="14"/>
  <c r="AL5" i="14"/>
  <c r="AM5" i="14" s="1"/>
  <c r="AG5" i="14"/>
  <c r="AH5" i="14" s="1"/>
  <c r="Y5" i="14"/>
  <c r="Z5" i="14" s="1"/>
  <c r="J5" i="14"/>
  <c r="I5" i="14"/>
  <c r="AL4" i="14"/>
  <c r="AM4" i="14" s="1"/>
  <c r="AH4" i="14"/>
  <c r="Y4" i="14"/>
  <c r="J4" i="14"/>
  <c r="I4" i="14"/>
  <c r="AK66" i="13"/>
  <c r="AH64" i="13"/>
  <c r="AG64" i="13"/>
  <c r="Z64" i="13"/>
  <c r="Y64" i="13"/>
  <c r="R64" i="13"/>
  <c r="Q64" i="13"/>
  <c r="J64" i="13"/>
  <c r="I64" i="13"/>
  <c r="AK62" i="13"/>
  <c r="AH62" i="13"/>
  <c r="AG62" i="13"/>
  <c r="Z62" i="13"/>
  <c r="Y62" i="13"/>
  <c r="R62" i="13"/>
  <c r="Q62" i="13"/>
  <c r="J62" i="13"/>
  <c r="I62" i="13"/>
  <c r="AL61" i="13"/>
  <c r="AK61" i="13"/>
  <c r="AH61" i="13"/>
  <c r="AG61" i="13"/>
  <c r="Z61" i="13"/>
  <c r="Y61" i="13"/>
  <c r="R61" i="13"/>
  <c r="Q61" i="13"/>
  <c r="J61" i="13"/>
  <c r="I61" i="13"/>
  <c r="AH60" i="13"/>
  <c r="AG60" i="13"/>
  <c r="Z60" i="13"/>
  <c r="Y60" i="13"/>
  <c r="R60" i="13"/>
  <c r="Q60" i="13"/>
  <c r="J60" i="13"/>
  <c r="I60" i="13"/>
  <c r="AK59" i="13"/>
  <c r="AH59" i="13"/>
  <c r="AG59" i="13"/>
  <c r="Z59" i="13"/>
  <c r="Y59" i="13"/>
  <c r="R59" i="13"/>
  <c r="Q59" i="13"/>
  <c r="J59" i="13"/>
  <c r="I59" i="13"/>
  <c r="AO58" i="13"/>
  <c r="AL58" i="13"/>
  <c r="AK58" i="13"/>
  <c r="AH58" i="13"/>
  <c r="AG58" i="13"/>
  <c r="Z58" i="13"/>
  <c r="Y58" i="13"/>
  <c r="R58" i="13"/>
  <c r="Q58" i="13"/>
  <c r="J58" i="13"/>
  <c r="I58" i="13"/>
  <c r="AH57" i="13"/>
  <c r="AG57" i="13"/>
  <c r="Z57" i="13"/>
  <c r="Y57" i="13"/>
  <c r="R57" i="13"/>
  <c r="Q57" i="13"/>
  <c r="J57" i="13"/>
  <c r="I57" i="13"/>
  <c r="AH56" i="13"/>
  <c r="AG56" i="13"/>
  <c r="Z56" i="13"/>
  <c r="Y56" i="13"/>
  <c r="R56" i="13"/>
  <c r="Q56" i="13"/>
  <c r="J56" i="13"/>
  <c r="I56" i="13"/>
  <c r="K53" i="13"/>
  <c r="J53" i="13"/>
  <c r="AK52" i="13"/>
  <c r="AH52" i="13"/>
  <c r="AG52" i="13"/>
  <c r="Z52" i="13"/>
  <c r="Y52" i="13"/>
  <c r="R52" i="13"/>
  <c r="Q52" i="13"/>
  <c r="J52" i="13"/>
  <c r="I52" i="13"/>
  <c r="AL51" i="13"/>
  <c r="AK51" i="13"/>
  <c r="AH51" i="13"/>
  <c r="AG51" i="13"/>
  <c r="Z51" i="13"/>
  <c r="Y51" i="13"/>
  <c r="R51" i="13"/>
  <c r="Q51" i="13"/>
  <c r="J51" i="13"/>
  <c r="I51" i="13"/>
  <c r="AH50" i="13"/>
  <c r="AG50" i="13"/>
  <c r="AF50" i="13"/>
  <c r="Z50" i="13"/>
  <c r="Y50" i="13"/>
  <c r="X50" i="13"/>
  <c r="S50" i="13"/>
  <c r="R50" i="13"/>
  <c r="Q50" i="13"/>
  <c r="J50" i="13"/>
  <c r="I50" i="13"/>
  <c r="AK49" i="13"/>
  <c r="AL48" i="13"/>
  <c r="AK48" i="13"/>
  <c r="AH48" i="13"/>
  <c r="AG48" i="13"/>
  <c r="Z48" i="13"/>
  <c r="Y48" i="13"/>
  <c r="R48" i="13"/>
  <c r="Q48" i="13"/>
  <c r="J48" i="13"/>
  <c r="I48" i="13"/>
  <c r="AH47" i="13"/>
  <c r="AG47" i="13"/>
  <c r="Z47" i="13"/>
  <c r="Y47" i="13"/>
  <c r="R47" i="13"/>
  <c r="Q47" i="13"/>
  <c r="J47" i="13"/>
  <c r="I47" i="13"/>
  <c r="AH46" i="13"/>
  <c r="AG46" i="13"/>
  <c r="Z46" i="13"/>
  <c r="Y46" i="13"/>
  <c r="R46" i="13"/>
  <c r="Q46" i="13"/>
  <c r="J46" i="13"/>
  <c r="I46" i="13"/>
  <c r="AH45" i="13"/>
  <c r="AG45" i="13"/>
  <c r="Z45" i="13"/>
  <c r="Y45" i="13"/>
  <c r="R45" i="13"/>
  <c r="Q45" i="13"/>
  <c r="J45" i="13"/>
  <c r="I45" i="13"/>
  <c r="AH44" i="13"/>
  <c r="AG44" i="13"/>
  <c r="Z44" i="13"/>
  <c r="Y44" i="13"/>
  <c r="R44" i="13"/>
  <c r="Q44" i="13"/>
  <c r="J44" i="13"/>
  <c r="I44" i="13"/>
  <c r="AH43" i="13"/>
  <c r="AG43" i="13"/>
  <c r="Z43" i="13"/>
  <c r="Y43" i="13"/>
  <c r="R43" i="13"/>
  <c r="Q43" i="13"/>
  <c r="J43" i="13"/>
  <c r="I43" i="13"/>
  <c r="AH42" i="13"/>
  <c r="AG42" i="13"/>
  <c r="Z42" i="13"/>
  <c r="Y42" i="13"/>
  <c r="R42" i="13"/>
  <c r="Q42" i="13"/>
  <c r="J42" i="13"/>
  <c r="I42" i="13"/>
  <c r="AH41" i="13"/>
  <c r="AG41" i="13"/>
  <c r="Z41" i="13"/>
  <c r="Y41" i="13"/>
  <c r="R41" i="13"/>
  <c r="Q41" i="13"/>
  <c r="J41" i="13"/>
  <c r="I41" i="13"/>
  <c r="AH40" i="13"/>
  <c r="AG40" i="13"/>
  <c r="Z40" i="13"/>
  <c r="Y40" i="13"/>
  <c r="R40" i="13"/>
  <c r="Q40" i="13"/>
  <c r="J40" i="13"/>
  <c r="I40" i="13"/>
  <c r="AH39" i="13"/>
  <c r="AG39" i="13"/>
  <c r="Z39" i="13"/>
  <c r="Y39" i="13"/>
  <c r="R39" i="13"/>
  <c r="Q39" i="13"/>
  <c r="J39" i="13"/>
  <c r="I39" i="13"/>
  <c r="AH38" i="13"/>
  <c r="AG38" i="13"/>
  <c r="Z38" i="13"/>
  <c r="Y38" i="13"/>
  <c r="R38" i="13"/>
  <c r="Q38" i="13"/>
  <c r="J38" i="13"/>
  <c r="I38" i="13"/>
  <c r="AH37" i="13"/>
  <c r="AG37" i="13"/>
  <c r="Z37" i="13"/>
  <c r="Y37" i="13"/>
  <c r="R37" i="13"/>
  <c r="Q37" i="13"/>
  <c r="J37" i="13"/>
  <c r="I37" i="13"/>
  <c r="AH36" i="13"/>
  <c r="AG36" i="13"/>
  <c r="Z36" i="13"/>
  <c r="Y36" i="13"/>
  <c r="R36" i="13"/>
  <c r="Q36" i="13"/>
  <c r="J36" i="13"/>
  <c r="I36" i="13"/>
  <c r="AH35" i="13"/>
  <c r="AG35" i="13"/>
  <c r="Z35" i="13"/>
  <c r="Y35" i="13"/>
  <c r="R35" i="13"/>
  <c r="Q35" i="13"/>
  <c r="J35" i="13"/>
  <c r="I35" i="13"/>
  <c r="AH34" i="13"/>
  <c r="AG34" i="13"/>
  <c r="Z34" i="13"/>
  <c r="Y34" i="13"/>
  <c r="R34" i="13"/>
  <c r="Q34" i="13"/>
  <c r="J34" i="13"/>
  <c r="I34" i="13"/>
  <c r="AH33" i="13"/>
  <c r="AG33" i="13"/>
  <c r="Z33" i="13"/>
  <c r="Y33" i="13"/>
  <c r="R33" i="13"/>
  <c r="Q33" i="13"/>
  <c r="J33" i="13"/>
  <c r="I33" i="13"/>
  <c r="AH32" i="13"/>
  <c r="AG32" i="13"/>
  <c r="Z32" i="13"/>
  <c r="Y32" i="13"/>
  <c r="R32" i="13"/>
  <c r="Q32" i="13"/>
  <c r="J32" i="13"/>
  <c r="I32" i="13"/>
  <c r="AH31" i="13"/>
  <c r="AG31" i="13"/>
  <c r="Z31" i="13"/>
  <c r="Y31" i="13"/>
  <c r="R31" i="13"/>
  <c r="Q31" i="13"/>
  <c r="J31" i="13"/>
  <c r="I31" i="13"/>
  <c r="AH30" i="13"/>
  <c r="AG30" i="13"/>
  <c r="Z30" i="13"/>
  <c r="Y30" i="13"/>
  <c r="R30" i="13"/>
  <c r="Q30" i="13"/>
  <c r="J30" i="13"/>
  <c r="I30" i="13"/>
  <c r="AH29" i="13"/>
  <c r="AG29" i="13"/>
  <c r="Z29" i="13"/>
  <c r="Y29" i="13"/>
  <c r="R29" i="13"/>
  <c r="Q29" i="13"/>
  <c r="J29" i="13"/>
  <c r="I29" i="13"/>
  <c r="AK28" i="13"/>
  <c r="AH28" i="13"/>
  <c r="AG28" i="13"/>
  <c r="Z28" i="13"/>
  <c r="Y28" i="13"/>
  <c r="R28" i="13"/>
  <c r="Q28" i="13"/>
  <c r="J28" i="13"/>
  <c r="I28" i="13"/>
  <c r="AK27" i="13"/>
  <c r="AH27" i="13"/>
  <c r="AG27" i="13"/>
  <c r="Z27" i="13"/>
  <c r="Y27" i="13"/>
  <c r="R27" i="13"/>
  <c r="Q27" i="13"/>
  <c r="J27" i="13"/>
  <c r="I27" i="13"/>
  <c r="AK26" i="13"/>
  <c r="AH26" i="13"/>
  <c r="AG26" i="13"/>
  <c r="Z26" i="13"/>
  <c r="Y26" i="13"/>
  <c r="R26" i="13"/>
  <c r="Q26" i="13"/>
  <c r="J26" i="13"/>
  <c r="I26" i="13"/>
  <c r="AK25" i="13"/>
  <c r="AH25" i="13"/>
  <c r="AG25" i="13"/>
  <c r="Z25" i="13"/>
  <c r="Y25" i="13"/>
  <c r="R25" i="13"/>
  <c r="Q25" i="13"/>
  <c r="J25" i="13"/>
  <c r="I25" i="13"/>
  <c r="AH24" i="13"/>
  <c r="AG24" i="13"/>
  <c r="Z24" i="13"/>
  <c r="Y24" i="13"/>
  <c r="R24" i="13"/>
  <c r="Q24" i="13"/>
  <c r="J24" i="13"/>
  <c r="I24" i="13"/>
  <c r="AH23" i="13"/>
  <c r="AG23" i="13"/>
  <c r="Z23" i="13"/>
  <c r="Y23" i="13"/>
  <c r="R23" i="13"/>
  <c r="Q23" i="13"/>
  <c r="J23" i="13"/>
  <c r="I23" i="13"/>
  <c r="AM22" i="13"/>
  <c r="AH22" i="13"/>
  <c r="AG22" i="13"/>
  <c r="Z22" i="13"/>
  <c r="Y22" i="13"/>
  <c r="R22" i="13"/>
  <c r="Q22" i="13"/>
  <c r="J22" i="13"/>
  <c r="I22" i="13"/>
  <c r="AH21" i="13"/>
  <c r="AG21" i="13"/>
  <c r="Z21" i="13"/>
  <c r="Y21" i="13"/>
  <c r="R21" i="13"/>
  <c r="Q21" i="13"/>
  <c r="J21" i="13"/>
  <c r="I21" i="13"/>
  <c r="AK20" i="13"/>
  <c r="AH20" i="13"/>
  <c r="AG20" i="13"/>
  <c r="Z20" i="13"/>
  <c r="Y20" i="13"/>
  <c r="R20" i="13"/>
  <c r="Q20" i="13"/>
  <c r="J20" i="13"/>
  <c r="I20" i="13"/>
  <c r="AL19" i="13"/>
  <c r="AK19" i="13"/>
  <c r="AH19" i="13"/>
  <c r="AG19" i="13"/>
  <c r="Z19" i="13"/>
  <c r="Y19" i="13"/>
  <c r="R19" i="13"/>
  <c r="Q19" i="13"/>
  <c r="J19" i="13"/>
  <c r="I19" i="13"/>
  <c r="AH18" i="13"/>
  <c r="AG18" i="13"/>
  <c r="Z18" i="13"/>
  <c r="Y18" i="13"/>
  <c r="R18" i="13"/>
  <c r="Q18" i="13"/>
  <c r="J18" i="13"/>
  <c r="I18" i="13"/>
  <c r="AH17" i="13"/>
  <c r="AG17" i="13"/>
  <c r="Z17" i="13"/>
  <c r="Y17" i="13"/>
  <c r="R17" i="13"/>
  <c r="Q17" i="13"/>
  <c r="J17" i="13"/>
  <c r="I17" i="13"/>
  <c r="AH16" i="13"/>
  <c r="AG16" i="13"/>
  <c r="Z16" i="13"/>
  <c r="Y16" i="13"/>
  <c r="R16" i="13"/>
  <c r="Q16" i="13"/>
  <c r="I16" i="13"/>
  <c r="AH15" i="13"/>
  <c r="AG15" i="13"/>
  <c r="Z15" i="13"/>
  <c r="Y15" i="13"/>
  <c r="R15" i="13"/>
  <c r="Q15" i="13"/>
  <c r="J15" i="13"/>
  <c r="I15" i="13"/>
  <c r="AH14" i="13"/>
  <c r="AG14" i="13"/>
  <c r="Z14" i="13"/>
  <c r="Y14" i="13"/>
  <c r="R14" i="13"/>
  <c r="Q14" i="13"/>
  <c r="J14" i="13"/>
  <c r="I14" i="13"/>
  <c r="AP13" i="13"/>
  <c r="AH13" i="13"/>
  <c r="AG13" i="13"/>
  <c r="Z13" i="13"/>
  <c r="Y13" i="13"/>
  <c r="R13" i="13"/>
  <c r="Q13" i="13"/>
  <c r="J13" i="13"/>
  <c r="I13" i="13"/>
  <c r="AP12" i="13"/>
  <c r="AH12" i="13"/>
  <c r="AG12" i="13"/>
  <c r="Z12" i="13"/>
  <c r="Y12" i="13"/>
  <c r="R12" i="13"/>
  <c r="Q12" i="13"/>
  <c r="J12" i="13"/>
  <c r="I12" i="13"/>
  <c r="AP11" i="13"/>
  <c r="AH11" i="13"/>
  <c r="AG11" i="13"/>
  <c r="Z11" i="13"/>
  <c r="Y11" i="13"/>
  <c r="R11" i="13"/>
  <c r="Q11" i="13"/>
  <c r="J11" i="13"/>
  <c r="I11" i="13"/>
  <c r="AP10" i="13"/>
  <c r="AH10" i="13"/>
  <c r="AG10" i="13"/>
  <c r="Z10" i="13"/>
  <c r="Y10" i="13"/>
  <c r="R10" i="13"/>
  <c r="Q10" i="13"/>
  <c r="J10" i="13"/>
  <c r="I10" i="13"/>
  <c r="AP9" i="13"/>
  <c r="AH9" i="13"/>
  <c r="AG9" i="13"/>
  <c r="Z9" i="13"/>
  <c r="Y9" i="13"/>
  <c r="R9" i="13"/>
  <c r="Q9" i="13"/>
  <c r="J9" i="13"/>
  <c r="I9" i="13"/>
  <c r="AP8" i="13"/>
  <c r="AH8" i="13"/>
  <c r="AG8" i="13"/>
  <c r="Z8" i="13"/>
  <c r="Y8" i="13"/>
  <c r="R8" i="13"/>
  <c r="Q8" i="13"/>
  <c r="J8" i="13"/>
  <c r="I8" i="13"/>
  <c r="AP7" i="13"/>
  <c r="AH7" i="13"/>
  <c r="AG7" i="13"/>
  <c r="Z7" i="13"/>
  <c r="Y7" i="13"/>
  <c r="R7" i="13"/>
  <c r="Q7" i="13"/>
  <c r="J7" i="13"/>
  <c r="I7" i="13"/>
  <c r="AP6" i="13"/>
  <c r="AH6" i="13"/>
  <c r="AG6" i="13"/>
  <c r="Z6" i="13"/>
  <c r="Y6" i="13"/>
  <c r="R6" i="13"/>
  <c r="Q6" i="13"/>
  <c r="J6" i="13"/>
  <c r="I6" i="13"/>
  <c r="AP5" i="13"/>
  <c r="AH5" i="13"/>
  <c r="AG5" i="13"/>
  <c r="Z5" i="13"/>
  <c r="Y5" i="13"/>
  <c r="R5" i="13"/>
  <c r="Q5" i="13"/>
  <c r="J5" i="13"/>
  <c r="I5" i="13"/>
  <c r="AP4" i="13"/>
  <c r="AH4" i="13"/>
  <c r="AG4" i="13"/>
  <c r="Z4" i="13"/>
  <c r="Y4" i="13"/>
  <c r="R4" i="13"/>
  <c r="Q4" i="13"/>
  <c r="J4" i="13"/>
  <c r="I4" i="13"/>
  <c r="AP66" i="12"/>
  <c r="AM64" i="12"/>
  <c r="AL64" i="12"/>
  <c r="AF64" i="12"/>
  <c r="AE64" i="12"/>
  <c r="X64" i="12"/>
  <c r="W64" i="12"/>
  <c r="P64" i="12"/>
  <c r="O64" i="12"/>
  <c r="H64" i="12"/>
  <c r="G64" i="12"/>
  <c r="AP62" i="12"/>
  <c r="AM62" i="12"/>
  <c r="AL62" i="12"/>
  <c r="AF62" i="12"/>
  <c r="AE62" i="12"/>
  <c r="X62" i="12"/>
  <c r="W62" i="12"/>
  <c r="P62" i="12"/>
  <c r="O62" i="12"/>
  <c r="H62" i="12"/>
  <c r="G62" i="12"/>
  <c r="AQ61" i="12"/>
  <c r="AP61" i="12"/>
  <c r="AM61" i="12"/>
  <c r="AL61" i="12"/>
  <c r="AF61" i="12"/>
  <c r="AE61" i="12"/>
  <c r="X61" i="12"/>
  <c r="W61" i="12"/>
  <c r="P61" i="12"/>
  <c r="O61" i="12"/>
  <c r="H61" i="12"/>
  <c r="G61" i="12"/>
  <c r="AM60" i="12"/>
  <c r="AL60" i="12"/>
  <c r="AF60" i="12"/>
  <c r="AE60" i="12"/>
  <c r="X60" i="12"/>
  <c r="W60" i="12"/>
  <c r="P60" i="12"/>
  <c r="O60" i="12"/>
  <c r="H60" i="12"/>
  <c r="G60" i="12"/>
  <c r="AP59" i="12"/>
  <c r="AM59" i="12"/>
  <c r="AL59" i="12"/>
  <c r="AF59" i="12"/>
  <c r="AE59" i="12"/>
  <c r="X59" i="12"/>
  <c r="W59" i="12"/>
  <c r="P59" i="12"/>
  <c r="O59" i="12"/>
  <c r="H59" i="12"/>
  <c r="G59" i="12"/>
  <c r="AT58" i="12"/>
  <c r="AQ58" i="12"/>
  <c r="AP58" i="12"/>
  <c r="AM58" i="12"/>
  <c r="AL58" i="12"/>
  <c r="AF58" i="12"/>
  <c r="AE58" i="12"/>
  <c r="X58" i="12"/>
  <c r="W58" i="12"/>
  <c r="P58" i="12"/>
  <c r="O58" i="12"/>
  <c r="H58" i="12"/>
  <c r="G58" i="12"/>
  <c r="AM57" i="12"/>
  <c r="AL57" i="12"/>
  <c r="AF57" i="12"/>
  <c r="AE57" i="12"/>
  <c r="X57" i="12"/>
  <c r="W57" i="12"/>
  <c r="P57" i="12"/>
  <c r="O57" i="12"/>
  <c r="H57" i="12"/>
  <c r="G57" i="12"/>
  <c r="AM56" i="12"/>
  <c r="AL56" i="12"/>
  <c r="AF56" i="12"/>
  <c r="AE56" i="12"/>
  <c r="X56" i="12"/>
  <c r="W56" i="12"/>
  <c r="P56" i="12"/>
  <c r="O56" i="12"/>
  <c r="H56" i="12"/>
  <c r="G56" i="12"/>
  <c r="I53" i="12"/>
  <c r="H53" i="12"/>
  <c r="AP52" i="12"/>
  <c r="AM52" i="12"/>
  <c r="AL52" i="12"/>
  <c r="AF52" i="12"/>
  <c r="AE52" i="12"/>
  <c r="X52" i="12"/>
  <c r="W52" i="12"/>
  <c r="P52" i="12"/>
  <c r="O52" i="12"/>
  <c r="H52" i="12"/>
  <c r="G52" i="12"/>
  <c r="AQ51" i="12"/>
  <c r="AP51" i="12"/>
  <c r="AM51" i="12"/>
  <c r="AL51" i="12"/>
  <c r="AF51" i="12"/>
  <c r="AE51" i="12"/>
  <c r="X51" i="12"/>
  <c r="W51" i="12"/>
  <c r="P51" i="12"/>
  <c r="O51" i="12"/>
  <c r="H51" i="12"/>
  <c r="G51" i="12"/>
  <c r="AM50" i="12"/>
  <c r="AL50" i="12"/>
  <c r="AK50" i="12"/>
  <c r="AF50" i="12"/>
  <c r="AE50" i="12"/>
  <c r="AD50" i="12"/>
  <c r="X50" i="12"/>
  <c r="W50" i="12"/>
  <c r="V50" i="12"/>
  <c r="Q50" i="12"/>
  <c r="P50" i="12"/>
  <c r="O50" i="12"/>
  <c r="H50" i="12"/>
  <c r="G50" i="12"/>
  <c r="AP49" i="12"/>
  <c r="AQ48" i="12"/>
  <c r="AP48" i="12"/>
  <c r="AM48" i="12"/>
  <c r="AL48" i="12"/>
  <c r="AF48" i="12"/>
  <c r="AE48" i="12"/>
  <c r="X48" i="12"/>
  <c r="W48" i="12"/>
  <c r="P48" i="12"/>
  <c r="O48" i="12"/>
  <c r="H48" i="12"/>
  <c r="G48" i="12"/>
  <c r="AM47" i="12"/>
  <c r="AL47" i="12"/>
  <c r="AF47" i="12"/>
  <c r="AE47" i="12"/>
  <c r="X47" i="12"/>
  <c r="W47" i="12"/>
  <c r="P47" i="12"/>
  <c r="O47" i="12"/>
  <c r="H47" i="12"/>
  <c r="G47" i="12"/>
  <c r="AM46" i="12"/>
  <c r="AL46" i="12"/>
  <c r="AF46" i="12"/>
  <c r="AE46" i="12"/>
  <c r="X46" i="12"/>
  <c r="W46" i="12"/>
  <c r="P46" i="12"/>
  <c r="O46" i="12"/>
  <c r="H46" i="12"/>
  <c r="G46" i="12"/>
  <c r="AM45" i="12"/>
  <c r="AL45" i="12"/>
  <c r="AF45" i="12"/>
  <c r="AE45" i="12"/>
  <c r="X45" i="12"/>
  <c r="W45" i="12"/>
  <c r="P45" i="12"/>
  <c r="O45" i="12"/>
  <c r="H45" i="12"/>
  <c r="G45" i="12"/>
  <c r="AM44" i="12"/>
  <c r="AL44" i="12"/>
  <c r="AF44" i="12"/>
  <c r="AE44" i="12"/>
  <c r="X44" i="12"/>
  <c r="W44" i="12"/>
  <c r="P44" i="12"/>
  <c r="O44" i="12"/>
  <c r="H44" i="12"/>
  <c r="G44" i="12"/>
  <c r="AM43" i="12"/>
  <c r="AL43" i="12"/>
  <c r="AF43" i="12"/>
  <c r="AE43" i="12"/>
  <c r="X43" i="12"/>
  <c r="W43" i="12"/>
  <c r="P43" i="12"/>
  <c r="O43" i="12"/>
  <c r="H43" i="12"/>
  <c r="G43" i="12"/>
  <c r="AM42" i="12"/>
  <c r="AL42" i="12"/>
  <c r="AF42" i="12"/>
  <c r="AE42" i="12"/>
  <c r="X42" i="12"/>
  <c r="W42" i="12"/>
  <c r="P42" i="12"/>
  <c r="O42" i="12"/>
  <c r="H42" i="12"/>
  <c r="G42" i="12"/>
  <c r="AM41" i="12"/>
  <c r="AL41" i="12"/>
  <c r="AF41" i="12"/>
  <c r="AE41" i="12"/>
  <c r="X41" i="12"/>
  <c r="W41" i="12"/>
  <c r="P41" i="12"/>
  <c r="O41" i="12"/>
  <c r="H41" i="12"/>
  <c r="G41" i="12"/>
  <c r="AM40" i="12"/>
  <c r="AL40" i="12"/>
  <c r="AF40" i="12"/>
  <c r="AE40" i="12"/>
  <c r="X40" i="12"/>
  <c r="W40" i="12"/>
  <c r="P40" i="12"/>
  <c r="O40" i="12"/>
  <c r="H40" i="12"/>
  <c r="G40" i="12"/>
  <c r="AM39" i="12"/>
  <c r="AL39" i="12"/>
  <c r="AF39" i="12"/>
  <c r="AE39" i="12"/>
  <c r="X39" i="12"/>
  <c r="W39" i="12"/>
  <c r="P39" i="12"/>
  <c r="O39" i="12"/>
  <c r="H39" i="12"/>
  <c r="G39" i="12"/>
  <c r="AM38" i="12"/>
  <c r="AL38" i="12"/>
  <c r="AF38" i="12"/>
  <c r="AE38" i="12"/>
  <c r="X38" i="12"/>
  <c r="W38" i="12"/>
  <c r="P38" i="12"/>
  <c r="O38" i="12"/>
  <c r="H38" i="12"/>
  <c r="G38" i="12"/>
  <c r="AM37" i="12"/>
  <c r="AL37" i="12"/>
  <c r="AF37" i="12"/>
  <c r="AE37" i="12"/>
  <c r="X37" i="12"/>
  <c r="W37" i="12"/>
  <c r="P37" i="12"/>
  <c r="O37" i="12"/>
  <c r="H37" i="12"/>
  <c r="G37" i="12"/>
  <c r="AM36" i="12"/>
  <c r="AL36" i="12"/>
  <c r="AF36" i="12"/>
  <c r="AE36" i="12"/>
  <c r="X36" i="12"/>
  <c r="W36" i="12"/>
  <c r="P36" i="12"/>
  <c r="O36" i="12"/>
  <c r="H36" i="12"/>
  <c r="G36" i="12"/>
  <c r="AM35" i="12"/>
  <c r="AL35" i="12"/>
  <c r="AF35" i="12"/>
  <c r="AE35" i="12"/>
  <c r="X35" i="12"/>
  <c r="W35" i="12"/>
  <c r="P35" i="12"/>
  <c r="O35" i="12"/>
  <c r="H35" i="12"/>
  <c r="G35" i="12"/>
  <c r="AM34" i="12"/>
  <c r="AL34" i="12"/>
  <c r="AF34" i="12"/>
  <c r="AE34" i="12"/>
  <c r="X34" i="12"/>
  <c r="W34" i="12"/>
  <c r="P34" i="12"/>
  <c r="O34" i="12"/>
  <c r="H34" i="12"/>
  <c r="G34" i="12"/>
  <c r="AM33" i="12"/>
  <c r="AL33" i="12"/>
  <c r="AF33" i="12"/>
  <c r="AE33" i="12"/>
  <c r="X33" i="12"/>
  <c r="W33" i="12"/>
  <c r="P33" i="12"/>
  <c r="O33" i="12"/>
  <c r="H33" i="12"/>
  <c r="G33" i="12"/>
  <c r="AM32" i="12"/>
  <c r="AL32" i="12"/>
  <c r="AF32" i="12"/>
  <c r="AE32" i="12"/>
  <c r="X32" i="12"/>
  <c r="W32" i="12"/>
  <c r="P32" i="12"/>
  <c r="O32" i="12"/>
  <c r="H32" i="12"/>
  <c r="G32" i="12"/>
  <c r="AM31" i="12"/>
  <c r="AL31" i="12"/>
  <c r="AF31" i="12"/>
  <c r="AE31" i="12"/>
  <c r="X31" i="12"/>
  <c r="W31" i="12"/>
  <c r="P31" i="12"/>
  <c r="O31" i="12"/>
  <c r="H31" i="12"/>
  <c r="G31" i="12"/>
  <c r="AM30" i="12"/>
  <c r="AL30" i="12"/>
  <c r="AF30" i="12"/>
  <c r="AE30" i="12"/>
  <c r="X30" i="12"/>
  <c r="W30" i="12"/>
  <c r="P30" i="12"/>
  <c r="O30" i="12"/>
  <c r="H30" i="12"/>
  <c r="G30" i="12"/>
  <c r="AM29" i="12"/>
  <c r="AL29" i="12"/>
  <c r="AF29" i="12"/>
  <c r="AE29" i="12"/>
  <c r="X29" i="12"/>
  <c r="W29" i="12"/>
  <c r="P29" i="12"/>
  <c r="O29" i="12"/>
  <c r="H29" i="12"/>
  <c r="G29" i="12"/>
  <c r="AP28" i="12"/>
  <c r="AM28" i="12"/>
  <c r="AL28" i="12"/>
  <c r="AF28" i="12"/>
  <c r="AE28" i="12"/>
  <c r="X28" i="12"/>
  <c r="W28" i="12"/>
  <c r="P28" i="12"/>
  <c r="O28" i="12"/>
  <c r="H28" i="12"/>
  <c r="G28" i="12"/>
  <c r="AP27" i="12"/>
  <c r="AM27" i="12"/>
  <c r="AL27" i="12"/>
  <c r="AF27" i="12"/>
  <c r="AE27" i="12"/>
  <c r="X27" i="12"/>
  <c r="W27" i="12"/>
  <c r="P27" i="12"/>
  <c r="O27" i="12"/>
  <c r="H27" i="12"/>
  <c r="G27" i="12"/>
  <c r="AP26" i="12"/>
  <c r="AM26" i="12"/>
  <c r="AL26" i="12"/>
  <c r="AF26" i="12"/>
  <c r="AE26" i="12"/>
  <c r="X26" i="12"/>
  <c r="W26" i="12"/>
  <c r="P26" i="12"/>
  <c r="O26" i="12"/>
  <c r="H26" i="12"/>
  <c r="G26" i="12"/>
  <c r="AP25" i="12"/>
  <c r="AM25" i="12"/>
  <c r="AL25" i="12"/>
  <c r="AF25" i="12"/>
  <c r="AE25" i="12"/>
  <c r="X25" i="12"/>
  <c r="W25" i="12"/>
  <c r="P25" i="12"/>
  <c r="O25" i="12"/>
  <c r="H25" i="12"/>
  <c r="G25" i="12"/>
  <c r="AM24" i="12"/>
  <c r="AL24" i="12"/>
  <c r="AF24" i="12"/>
  <c r="AE24" i="12"/>
  <c r="X24" i="12"/>
  <c r="W24" i="12"/>
  <c r="P24" i="12"/>
  <c r="O24" i="12"/>
  <c r="H24" i="12"/>
  <c r="G24" i="12"/>
  <c r="AM23" i="12"/>
  <c r="AL23" i="12"/>
  <c r="AF23" i="12"/>
  <c r="AE23" i="12"/>
  <c r="X23" i="12"/>
  <c r="W23" i="12"/>
  <c r="P23" i="12"/>
  <c r="O23" i="12"/>
  <c r="H23" i="12"/>
  <c r="G23" i="12"/>
  <c r="AR22" i="12"/>
  <c r="AM22" i="12"/>
  <c r="AL22" i="12"/>
  <c r="AF22" i="12"/>
  <c r="AE22" i="12"/>
  <c r="X22" i="12"/>
  <c r="W22" i="12"/>
  <c r="P22" i="12"/>
  <c r="O22" i="12"/>
  <c r="H22" i="12"/>
  <c r="G22" i="12"/>
  <c r="AM21" i="12"/>
  <c r="AL21" i="12"/>
  <c r="AF21" i="12"/>
  <c r="AE21" i="12"/>
  <c r="X21" i="12"/>
  <c r="W21" i="12"/>
  <c r="P21" i="12"/>
  <c r="O21" i="12"/>
  <c r="H21" i="12"/>
  <c r="G21" i="12"/>
  <c r="AP20" i="12"/>
  <c r="AM20" i="12"/>
  <c r="AL20" i="12"/>
  <c r="AF20" i="12"/>
  <c r="AE20" i="12"/>
  <c r="X20" i="12"/>
  <c r="W20" i="12"/>
  <c r="P20" i="12"/>
  <c r="O20" i="12"/>
  <c r="H20" i="12"/>
  <c r="G20" i="12"/>
  <c r="AQ19" i="12"/>
  <c r="AP19" i="12"/>
  <c r="AM19" i="12"/>
  <c r="AL19" i="12"/>
  <c r="AF19" i="12"/>
  <c r="AE19" i="12"/>
  <c r="X19" i="12"/>
  <c r="W19" i="12"/>
  <c r="P19" i="12"/>
  <c r="O19" i="12"/>
  <c r="H19" i="12"/>
  <c r="G19" i="12"/>
  <c r="AM18" i="12"/>
  <c r="AL18" i="12"/>
  <c r="AF18" i="12"/>
  <c r="AE18" i="12"/>
  <c r="X18" i="12"/>
  <c r="W18" i="12"/>
  <c r="P18" i="12"/>
  <c r="O18" i="12"/>
  <c r="H18" i="12"/>
  <c r="G18" i="12"/>
  <c r="AM17" i="12"/>
  <c r="AL17" i="12"/>
  <c r="AF17" i="12"/>
  <c r="AE17" i="12"/>
  <c r="X17" i="12"/>
  <c r="W17" i="12"/>
  <c r="P17" i="12"/>
  <c r="O17" i="12"/>
  <c r="H17" i="12"/>
  <c r="G17" i="12"/>
  <c r="AM16" i="12"/>
  <c r="AL16" i="12"/>
  <c r="AF16" i="12"/>
  <c r="AE16" i="12"/>
  <c r="X16" i="12"/>
  <c r="W16" i="12"/>
  <c r="P16" i="12"/>
  <c r="O16" i="12"/>
  <c r="G16" i="12"/>
  <c r="AM15" i="12"/>
  <c r="AL15" i="12"/>
  <c r="AF15" i="12"/>
  <c r="AE15" i="12"/>
  <c r="X15" i="12"/>
  <c r="W15" i="12"/>
  <c r="P15" i="12"/>
  <c r="O15" i="12"/>
  <c r="H15" i="12"/>
  <c r="G15" i="12"/>
  <c r="AM14" i="12"/>
  <c r="AL14" i="12"/>
  <c r="AF14" i="12"/>
  <c r="AE14" i="12"/>
  <c r="X14" i="12"/>
  <c r="W14" i="12"/>
  <c r="P14" i="12"/>
  <c r="O14" i="12"/>
  <c r="H14" i="12"/>
  <c r="G14" i="12"/>
  <c r="AU13" i="12"/>
  <c r="AM13" i="12"/>
  <c r="AL13" i="12"/>
  <c r="AF13" i="12"/>
  <c r="AE13" i="12"/>
  <c r="X13" i="12"/>
  <c r="W13" i="12"/>
  <c r="P13" i="12"/>
  <c r="O13" i="12"/>
  <c r="H13" i="12"/>
  <c r="G13" i="12"/>
  <c r="AU12" i="12"/>
  <c r="AM12" i="12"/>
  <c r="AL12" i="12"/>
  <c r="AF12" i="12"/>
  <c r="AE12" i="12"/>
  <c r="X12" i="12"/>
  <c r="W12" i="12"/>
  <c r="P12" i="12"/>
  <c r="O12" i="12"/>
  <c r="H12" i="12"/>
  <c r="G12" i="12"/>
  <c r="AU11" i="12"/>
  <c r="AM11" i="12"/>
  <c r="AL11" i="12"/>
  <c r="AF11" i="12"/>
  <c r="AE11" i="12"/>
  <c r="X11" i="12"/>
  <c r="W11" i="12"/>
  <c r="P11" i="12"/>
  <c r="O11" i="12"/>
  <c r="H11" i="12"/>
  <c r="G11" i="12"/>
  <c r="AU10" i="12"/>
  <c r="AM10" i="12"/>
  <c r="AL10" i="12"/>
  <c r="AF10" i="12"/>
  <c r="AE10" i="12"/>
  <c r="X10" i="12"/>
  <c r="W10" i="12"/>
  <c r="P10" i="12"/>
  <c r="O10" i="12"/>
  <c r="H10" i="12"/>
  <c r="G10" i="12"/>
  <c r="AU9" i="12"/>
  <c r="AM9" i="12"/>
  <c r="AL9" i="12"/>
  <c r="AF9" i="12"/>
  <c r="AE9" i="12"/>
  <c r="X9" i="12"/>
  <c r="W9" i="12"/>
  <c r="P9" i="12"/>
  <c r="O9" i="12"/>
  <c r="H9" i="12"/>
  <c r="G9" i="12"/>
  <c r="AU8" i="12"/>
  <c r="AM8" i="12"/>
  <c r="AL8" i="12"/>
  <c r="AF8" i="12"/>
  <c r="AE8" i="12"/>
  <c r="X8" i="12"/>
  <c r="W8" i="12"/>
  <c r="P8" i="12"/>
  <c r="O8" i="12"/>
  <c r="H8" i="12"/>
  <c r="G8" i="12"/>
  <c r="AU7" i="12"/>
  <c r="AM7" i="12"/>
  <c r="AL7" i="12"/>
  <c r="AF7" i="12"/>
  <c r="AE7" i="12"/>
  <c r="X7" i="12"/>
  <c r="W7" i="12"/>
  <c r="P7" i="12"/>
  <c r="O7" i="12"/>
  <c r="H7" i="12"/>
  <c r="G7" i="12"/>
  <c r="AU6" i="12"/>
  <c r="AM6" i="12"/>
  <c r="AL6" i="12"/>
  <c r="AF6" i="12"/>
  <c r="AE6" i="12"/>
  <c r="X6" i="12"/>
  <c r="W6" i="12"/>
  <c r="P6" i="12"/>
  <c r="O6" i="12"/>
  <c r="H6" i="12"/>
  <c r="G6" i="12"/>
  <c r="AU5" i="12"/>
  <c r="AM5" i="12"/>
  <c r="AL5" i="12"/>
  <c r="AF5" i="12"/>
  <c r="AE5" i="12"/>
  <c r="X5" i="12"/>
  <c r="W5" i="12"/>
  <c r="P5" i="12"/>
  <c r="O5" i="12"/>
  <c r="H5" i="12"/>
  <c r="G5" i="12"/>
  <c r="AU4" i="12"/>
  <c r="AM4" i="12"/>
  <c r="AL4" i="12"/>
  <c r="AF4" i="12"/>
  <c r="AE4" i="12"/>
  <c r="X4" i="12"/>
  <c r="W4" i="12"/>
  <c r="P4" i="12"/>
  <c r="O4" i="12"/>
  <c r="H4" i="12"/>
  <c r="G4" i="12"/>
  <c r="AO66" i="11"/>
  <c r="AL64" i="11"/>
  <c r="AK64" i="11"/>
  <c r="AH64" i="11"/>
  <c r="AG64" i="11"/>
  <c r="Z64" i="11"/>
  <c r="Y64" i="11"/>
  <c r="R64" i="11"/>
  <c r="Q64" i="11"/>
  <c r="J64" i="11"/>
  <c r="I64" i="11"/>
  <c r="AO62" i="11"/>
  <c r="AL62" i="11"/>
  <c r="AK62" i="11"/>
  <c r="AH62" i="11"/>
  <c r="AG62" i="11"/>
  <c r="Z62" i="11"/>
  <c r="Y62" i="11"/>
  <c r="R62" i="11"/>
  <c r="Q62" i="11"/>
  <c r="J62" i="11"/>
  <c r="I62" i="11"/>
  <c r="AP61" i="11"/>
  <c r="AO61" i="11"/>
  <c r="AL61" i="11"/>
  <c r="AK61" i="11"/>
  <c r="AH61" i="11"/>
  <c r="AG61" i="11"/>
  <c r="Z61" i="11"/>
  <c r="Y61" i="11"/>
  <c r="R61" i="11"/>
  <c r="Q61" i="11"/>
  <c r="J61" i="11"/>
  <c r="I61" i="11"/>
  <c r="AL60" i="11"/>
  <c r="AK60" i="11"/>
  <c r="AH60" i="11"/>
  <c r="AG60" i="11"/>
  <c r="Z60" i="11"/>
  <c r="Y60" i="11"/>
  <c r="R60" i="11"/>
  <c r="Q60" i="11"/>
  <c r="J60" i="11"/>
  <c r="AO59" i="11"/>
  <c r="AL59" i="11"/>
  <c r="AK59" i="11"/>
  <c r="AH59" i="11"/>
  <c r="AG59" i="11"/>
  <c r="Z59" i="11"/>
  <c r="Y59" i="11"/>
  <c r="R59" i="11"/>
  <c r="Q59" i="11"/>
  <c r="J59" i="11"/>
  <c r="I59" i="11"/>
  <c r="AS58" i="11"/>
  <c r="AP58" i="11"/>
  <c r="AO58" i="11"/>
  <c r="AL58" i="11"/>
  <c r="AK58" i="11"/>
  <c r="AH58" i="11"/>
  <c r="AG58" i="11"/>
  <c r="Z58" i="11"/>
  <c r="Y58" i="11"/>
  <c r="R58" i="11"/>
  <c r="Q58" i="11"/>
  <c r="J58" i="11"/>
  <c r="AL57" i="11"/>
  <c r="AK57" i="11"/>
  <c r="AH57" i="11"/>
  <c r="AG57" i="11"/>
  <c r="Z57" i="11"/>
  <c r="Y57" i="11"/>
  <c r="R57" i="11"/>
  <c r="Q57" i="11"/>
  <c r="J57" i="11"/>
  <c r="AL56" i="11"/>
  <c r="AK56" i="11"/>
  <c r="AH56" i="11"/>
  <c r="AG56" i="11"/>
  <c r="Z56" i="11"/>
  <c r="Y56" i="11"/>
  <c r="R56" i="11"/>
  <c r="Q56" i="11"/>
  <c r="J56" i="11"/>
  <c r="I56" i="11"/>
  <c r="K53" i="11"/>
  <c r="J53" i="11"/>
  <c r="AO52" i="11"/>
  <c r="AL52" i="11"/>
  <c r="AK52" i="11"/>
  <c r="AH52" i="11"/>
  <c r="AG52" i="11"/>
  <c r="Z52" i="11"/>
  <c r="Y52" i="11"/>
  <c r="R52" i="11"/>
  <c r="Q52" i="11"/>
  <c r="J52" i="11"/>
  <c r="I52" i="11"/>
  <c r="AP51" i="11"/>
  <c r="AO51" i="11"/>
  <c r="AL51" i="11"/>
  <c r="AK51" i="11"/>
  <c r="AH51" i="11"/>
  <c r="AG51" i="11"/>
  <c r="Z51" i="11"/>
  <c r="Y51" i="11"/>
  <c r="R51" i="11"/>
  <c r="Q51" i="11"/>
  <c r="J51" i="11"/>
  <c r="I51" i="11"/>
  <c r="AL50" i="11"/>
  <c r="AK50" i="11"/>
  <c r="AJ50" i="11"/>
  <c r="AH50" i="11"/>
  <c r="AG50" i="11"/>
  <c r="AF50" i="11"/>
  <c r="Z50" i="11"/>
  <c r="Y50" i="11"/>
  <c r="X50" i="11"/>
  <c r="S50" i="11"/>
  <c r="R50" i="11"/>
  <c r="Q50" i="11"/>
  <c r="J50" i="11"/>
  <c r="I50" i="11"/>
  <c r="AO49" i="11"/>
  <c r="AP48" i="11"/>
  <c r="AO48" i="11"/>
  <c r="AL48" i="11"/>
  <c r="AK48" i="11"/>
  <c r="AH48" i="11"/>
  <c r="AG48" i="11"/>
  <c r="Z48" i="11"/>
  <c r="Y48" i="11"/>
  <c r="R48" i="11"/>
  <c r="Q48" i="11"/>
  <c r="J48" i="11"/>
  <c r="I48" i="11"/>
  <c r="AL47" i="11"/>
  <c r="AK47" i="11"/>
  <c r="AH47" i="11"/>
  <c r="AG47" i="11"/>
  <c r="Z47" i="11"/>
  <c r="Y47" i="11"/>
  <c r="R47" i="11"/>
  <c r="Q47" i="11"/>
  <c r="J47" i="11"/>
  <c r="I47" i="11"/>
  <c r="AL46" i="11"/>
  <c r="AK46" i="11"/>
  <c r="AH46" i="11"/>
  <c r="AG46" i="11"/>
  <c r="Z46" i="11"/>
  <c r="Y46" i="11"/>
  <c r="R46" i="11"/>
  <c r="Q46" i="11"/>
  <c r="J46" i="11"/>
  <c r="AL45" i="11"/>
  <c r="AK45" i="11"/>
  <c r="AH45" i="11"/>
  <c r="AG45" i="11"/>
  <c r="Z45" i="11"/>
  <c r="Y45" i="11"/>
  <c r="R45" i="11"/>
  <c r="Q45" i="11"/>
  <c r="J45" i="11"/>
  <c r="I45" i="11"/>
  <c r="AL44" i="11"/>
  <c r="AK44" i="11"/>
  <c r="AH44" i="11"/>
  <c r="AG44" i="11"/>
  <c r="Z44" i="11"/>
  <c r="Y44" i="11"/>
  <c r="R44" i="11"/>
  <c r="Q44" i="11"/>
  <c r="J44" i="11"/>
  <c r="I44" i="11"/>
  <c r="AL43" i="11"/>
  <c r="AK43" i="11"/>
  <c r="AH43" i="11"/>
  <c r="AG43" i="11"/>
  <c r="Z43" i="11"/>
  <c r="Y43" i="11"/>
  <c r="R43" i="11"/>
  <c r="Q43" i="11"/>
  <c r="J43" i="11"/>
  <c r="I43" i="11"/>
  <c r="AL42" i="11"/>
  <c r="AK42" i="11"/>
  <c r="AH42" i="11"/>
  <c r="AG42" i="11"/>
  <c r="Z42" i="11"/>
  <c r="Y42" i="11"/>
  <c r="R42" i="11"/>
  <c r="Q42" i="11"/>
  <c r="J42" i="11"/>
  <c r="I42" i="11"/>
  <c r="AL41" i="11"/>
  <c r="AK41" i="11"/>
  <c r="AH41" i="11"/>
  <c r="AG41" i="11"/>
  <c r="Z41" i="11"/>
  <c r="Y41" i="11"/>
  <c r="R41" i="11"/>
  <c r="Q41" i="11"/>
  <c r="J41" i="11"/>
  <c r="I41" i="11"/>
  <c r="AL40" i="11"/>
  <c r="AK40" i="11"/>
  <c r="AH40" i="11"/>
  <c r="AG40" i="11"/>
  <c r="Z40" i="11"/>
  <c r="Y40" i="11"/>
  <c r="R40" i="11"/>
  <c r="Q40" i="11"/>
  <c r="J40" i="11"/>
  <c r="I40" i="11"/>
  <c r="AL39" i="11"/>
  <c r="AK39" i="11"/>
  <c r="AH39" i="11"/>
  <c r="AG39" i="11"/>
  <c r="Z39" i="11"/>
  <c r="Y39" i="11"/>
  <c r="R39" i="11"/>
  <c r="Q39" i="11"/>
  <c r="J39" i="11"/>
  <c r="I39" i="11"/>
  <c r="AL38" i="11"/>
  <c r="AK38" i="11"/>
  <c r="AH38" i="11"/>
  <c r="AG38" i="11"/>
  <c r="Z38" i="11"/>
  <c r="Y38" i="11"/>
  <c r="R38" i="11"/>
  <c r="Q38" i="11"/>
  <c r="J38" i="11"/>
  <c r="I38" i="11"/>
  <c r="AL37" i="11"/>
  <c r="AK37" i="11"/>
  <c r="AH37" i="11"/>
  <c r="AG37" i="11"/>
  <c r="Z37" i="11"/>
  <c r="Y37" i="11"/>
  <c r="R37" i="11"/>
  <c r="Q37" i="11"/>
  <c r="J37" i="11"/>
  <c r="I37" i="11"/>
  <c r="AL36" i="11"/>
  <c r="AK36" i="11"/>
  <c r="AH36" i="11"/>
  <c r="AG36" i="11"/>
  <c r="Z36" i="11"/>
  <c r="Y36" i="11"/>
  <c r="R36" i="11"/>
  <c r="Q36" i="11"/>
  <c r="J36" i="11"/>
  <c r="I36" i="11"/>
  <c r="AL35" i="11"/>
  <c r="AK35" i="11"/>
  <c r="AH35" i="11"/>
  <c r="AG35" i="11"/>
  <c r="Z35" i="11"/>
  <c r="Y35" i="11"/>
  <c r="R35" i="11"/>
  <c r="Q35" i="11"/>
  <c r="J35" i="11"/>
  <c r="I35" i="11"/>
  <c r="AL34" i="11"/>
  <c r="AK34" i="11"/>
  <c r="AH34" i="11"/>
  <c r="AG34" i="11"/>
  <c r="Z34" i="11"/>
  <c r="Y34" i="11"/>
  <c r="R34" i="11"/>
  <c r="Q34" i="11"/>
  <c r="J34" i="11"/>
  <c r="I34" i="11"/>
  <c r="AL33" i="11"/>
  <c r="AK33" i="11"/>
  <c r="AH33" i="11"/>
  <c r="AG33" i="11"/>
  <c r="Z33" i="11"/>
  <c r="Y33" i="11"/>
  <c r="R33" i="11"/>
  <c r="Q33" i="11"/>
  <c r="J33" i="11"/>
  <c r="I33" i="11"/>
  <c r="AL32" i="11"/>
  <c r="AK32" i="11"/>
  <c r="AH32" i="11"/>
  <c r="AG32" i="11"/>
  <c r="Z32" i="11"/>
  <c r="Y32" i="11"/>
  <c r="R32" i="11"/>
  <c r="Q32" i="11"/>
  <c r="J32" i="11"/>
  <c r="I32" i="11"/>
  <c r="AL31" i="11"/>
  <c r="AK31" i="11"/>
  <c r="AH31" i="11"/>
  <c r="AG31" i="11"/>
  <c r="Z31" i="11"/>
  <c r="Y31" i="11"/>
  <c r="R31" i="11"/>
  <c r="Q31" i="11"/>
  <c r="J31" i="11"/>
  <c r="I31" i="11"/>
  <c r="AL30" i="11"/>
  <c r="AK30" i="11"/>
  <c r="AH30" i="11"/>
  <c r="AG30" i="11"/>
  <c r="Z30" i="11"/>
  <c r="Y30" i="11"/>
  <c r="R30" i="11"/>
  <c r="Q30" i="11"/>
  <c r="J30" i="11"/>
  <c r="I30" i="11"/>
  <c r="AL29" i="11"/>
  <c r="AK29" i="11"/>
  <c r="AH29" i="11"/>
  <c r="AG29" i="11"/>
  <c r="Z29" i="11"/>
  <c r="Y29" i="11"/>
  <c r="R29" i="11"/>
  <c r="Q29" i="11"/>
  <c r="J29" i="11"/>
  <c r="I29" i="11"/>
  <c r="AO28" i="11"/>
  <c r="AL28" i="11"/>
  <c r="AK28" i="11"/>
  <c r="AH28" i="11"/>
  <c r="AG28" i="11"/>
  <c r="Z28" i="11"/>
  <c r="Y28" i="11"/>
  <c r="R28" i="11"/>
  <c r="Q28" i="11"/>
  <c r="J28" i="11"/>
  <c r="I28" i="11"/>
  <c r="AO27" i="11"/>
  <c r="AL27" i="11"/>
  <c r="AK27" i="11"/>
  <c r="AH27" i="11"/>
  <c r="AG27" i="11"/>
  <c r="Z27" i="11"/>
  <c r="Y27" i="11"/>
  <c r="R27" i="11"/>
  <c r="Q27" i="11"/>
  <c r="J27" i="11"/>
  <c r="I27" i="11"/>
  <c r="AO26" i="11"/>
  <c r="AL26" i="11"/>
  <c r="AK26" i="11"/>
  <c r="AH26" i="11"/>
  <c r="AG26" i="11"/>
  <c r="Z26" i="11"/>
  <c r="Y26" i="11"/>
  <c r="R26" i="11"/>
  <c r="Q26" i="11"/>
  <c r="J26" i="11"/>
  <c r="I26" i="11"/>
  <c r="AO25" i="11"/>
  <c r="AL25" i="11"/>
  <c r="AK25" i="11"/>
  <c r="AH25" i="11"/>
  <c r="AG25" i="11"/>
  <c r="Z25" i="11"/>
  <c r="Y25" i="11"/>
  <c r="R25" i="11"/>
  <c r="Q25" i="11"/>
  <c r="J25" i="11"/>
  <c r="I25" i="11"/>
  <c r="AL24" i="11"/>
  <c r="AK24" i="11"/>
  <c r="AH24" i="11"/>
  <c r="AG24" i="11"/>
  <c r="Z24" i="11"/>
  <c r="Y24" i="11"/>
  <c r="R24" i="11"/>
  <c r="Q24" i="11"/>
  <c r="J24" i="11"/>
  <c r="I24" i="11"/>
  <c r="AL23" i="11"/>
  <c r="AK23" i="11"/>
  <c r="AH23" i="11"/>
  <c r="AG23" i="11"/>
  <c r="Z23" i="11"/>
  <c r="Y23" i="11"/>
  <c r="R23" i="11"/>
  <c r="Q23" i="11"/>
  <c r="J23" i="11"/>
  <c r="I23" i="11"/>
  <c r="AQ22" i="11"/>
  <c r="AL22" i="11"/>
  <c r="AK22" i="11"/>
  <c r="AH22" i="11"/>
  <c r="AG22" i="11"/>
  <c r="Z22" i="11"/>
  <c r="Y22" i="11"/>
  <c r="R22" i="11"/>
  <c r="Q22" i="11"/>
  <c r="J22" i="11"/>
  <c r="I22" i="11"/>
  <c r="AL21" i="11"/>
  <c r="AK21" i="11"/>
  <c r="AH21" i="11"/>
  <c r="AG21" i="11"/>
  <c r="Z21" i="11"/>
  <c r="Y21" i="11"/>
  <c r="R21" i="11"/>
  <c r="Q21" i="11"/>
  <c r="J21" i="11"/>
  <c r="I21" i="11"/>
  <c r="AO20" i="11"/>
  <c r="AL20" i="11"/>
  <c r="AK20" i="11"/>
  <c r="AH20" i="11"/>
  <c r="AG20" i="11"/>
  <c r="Z20" i="11"/>
  <c r="Y20" i="11"/>
  <c r="R20" i="11"/>
  <c r="Q20" i="11"/>
  <c r="J20" i="11"/>
  <c r="I20" i="11"/>
  <c r="AP19" i="11"/>
  <c r="AO19" i="11"/>
  <c r="AL19" i="11"/>
  <c r="AK19" i="11"/>
  <c r="AH19" i="11"/>
  <c r="AG19" i="11"/>
  <c r="Z19" i="11"/>
  <c r="Y19" i="11"/>
  <c r="R19" i="11"/>
  <c r="Q19" i="11"/>
  <c r="J19" i="11"/>
  <c r="I19" i="11"/>
  <c r="AL18" i="11"/>
  <c r="AK18" i="11"/>
  <c r="AH18" i="11"/>
  <c r="AG18" i="11"/>
  <c r="Z18" i="11"/>
  <c r="Y18" i="11"/>
  <c r="R18" i="11"/>
  <c r="Q18" i="11"/>
  <c r="J18" i="11"/>
  <c r="I18" i="11"/>
  <c r="AL17" i="11"/>
  <c r="AK17" i="11"/>
  <c r="AH17" i="11"/>
  <c r="AG17" i="11"/>
  <c r="Z17" i="11"/>
  <c r="Y17" i="11"/>
  <c r="R17" i="11"/>
  <c r="Q17" i="11"/>
  <c r="J17" i="11"/>
  <c r="I17" i="11"/>
  <c r="AL16" i="11"/>
  <c r="AK16" i="11"/>
  <c r="AH16" i="11"/>
  <c r="AG16" i="11"/>
  <c r="Z16" i="11"/>
  <c r="Y16" i="11"/>
  <c r="R16" i="11"/>
  <c r="Q16" i="11"/>
  <c r="I16" i="11"/>
  <c r="AL15" i="11"/>
  <c r="AK15" i="11"/>
  <c r="AH15" i="11"/>
  <c r="AG15" i="11"/>
  <c r="Z15" i="11"/>
  <c r="Y15" i="11"/>
  <c r="R15" i="11"/>
  <c r="Q15" i="11"/>
  <c r="J15" i="11"/>
  <c r="I15" i="11"/>
  <c r="AL14" i="11"/>
  <c r="AK14" i="11"/>
  <c r="AH14" i="11"/>
  <c r="AG14" i="11"/>
  <c r="Z14" i="11"/>
  <c r="Y14" i="11"/>
  <c r="R14" i="11"/>
  <c r="Q14" i="11"/>
  <c r="J14" i="11"/>
  <c r="I14" i="11"/>
  <c r="AT13" i="11"/>
  <c r="AL13" i="11"/>
  <c r="AK13" i="11"/>
  <c r="AH13" i="11"/>
  <c r="AG13" i="11"/>
  <c r="Z13" i="11"/>
  <c r="Y13" i="11"/>
  <c r="R13" i="11"/>
  <c r="Q13" i="11"/>
  <c r="J13" i="11"/>
  <c r="I13" i="11"/>
  <c r="AT12" i="11"/>
  <c r="AL12" i="11"/>
  <c r="AK12" i="11"/>
  <c r="AH12" i="11"/>
  <c r="AG12" i="11"/>
  <c r="Z12" i="11"/>
  <c r="Y12" i="11"/>
  <c r="R12" i="11"/>
  <c r="Q12" i="11"/>
  <c r="J12" i="11"/>
  <c r="I12" i="11"/>
  <c r="AT11" i="11"/>
  <c r="AL11" i="11"/>
  <c r="AK11" i="11"/>
  <c r="AH11" i="11"/>
  <c r="AG11" i="11"/>
  <c r="Z11" i="11"/>
  <c r="Y11" i="11"/>
  <c r="R11" i="11"/>
  <c r="Q11" i="11"/>
  <c r="J11" i="11"/>
  <c r="I11" i="11"/>
  <c r="AT10" i="11"/>
  <c r="AL10" i="11"/>
  <c r="AK10" i="11"/>
  <c r="AH10" i="11"/>
  <c r="AG10" i="11"/>
  <c r="Z10" i="11"/>
  <c r="Y10" i="11"/>
  <c r="R10" i="11"/>
  <c r="Q10" i="11"/>
  <c r="J10" i="11"/>
  <c r="I10" i="11"/>
  <c r="AT9" i="11"/>
  <c r="AL9" i="11"/>
  <c r="AK9" i="11"/>
  <c r="AH9" i="11"/>
  <c r="AG9" i="11"/>
  <c r="Z9" i="11"/>
  <c r="Y9" i="11"/>
  <c r="R9" i="11"/>
  <c r="Q9" i="11"/>
  <c r="J9" i="11"/>
  <c r="I9" i="11"/>
  <c r="AT8" i="11"/>
  <c r="AL8" i="11"/>
  <c r="AK8" i="11"/>
  <c r="AH8" i="11"/>
  <c r="AG8" i="11"/>
  <c r="Z8" i="11"/>
  <c r="Y8" i="11"/>
  <c r="R8" i="11"/>
  <c r="Q8" i="11"/>
  <c r="J8" i="11"/>
  <c r="I8" i="11"/>
  <c r="AT7" i="11"/>
  <c r="AL7" i="11"/>
  <c r="AK7" i="11"/>
  <c r="AH7" i="11"/>
  <c r="AG7" i="11"/>
  <c r="Z7" i="11"/>
  <c r="Y7" i="11"/>
  <c r="R7" i="11"/>
  <c r="Q7" i="11"/>
  <c r="J7" i="11"/>
  <c r="I7" i="11"/>
  <c r="AT6" i="11"/>
  <c r="AL6" i="11"/>
  <c r="AK6" i="11"/>
  <c r="AH6" i="11"/>
  <c r="AG6" i="11"/>
  <c r="Z6" i="11"/>
  <c r="Y6" i="11"/>
  <c r="R6" i="11"/>
  <c r="Q6" i="11"/>
  <c r="J6" i="11"/>
  <c r="I6" i="11"/>
  <c r="AT5" i="11"/>
  <c r="AL5" i="11"/>
  <c r="AK5" i="11"/>
  <c r="AH5" i="11"/>
  <c r="AG5" i="11"/>
  <c r="Z5" i="11"/>
  <c r="Y5" i="11"/>
  <c r="R5" i="11"/>
  <c r="Q5" i="11"/>
  <c r="J5" i="11"/>
  <c r="I5" i="11"/>
  <c r="AT4" i="11"/>
  <c r="AL4" i="11"/>
  <c r="AK4" i="11"/>
  <c r="AH4" i="11"/>
  <c r="AG4" i="11"/>
  <c r="Z4" i="11"/>
  <c r="Y4" i="11"/>
  <c r="R4" i="11"/>
  <c r="Q4" i="11"/>
  <c r="I4" i="11"/>
  <c r="AO66" i="10"/>
  <c r="AL64" i="10"/>
  <c r="AK64" i="10"/>
  <c r="AD64" i="10"/>
  <c r="AC64" i="10"/>
  <c r="V64" i="10"/>
  <c r="U64" i="10"/>
  <c r="N64" i="10"/>
  <c r="M64" i="10"/>
  <c r="F64" i="10"/>
  <c r="E64" i="10"/>
  <c r="AO62" i="10"/>
  <c r="AL62" i="10"/>
  <c r="AK62" i="10"/>
  <c r="AD62" i="10"/>
  <c r="AC62" i="10"/>
  <c r="V62" i="10"/>
  <c r="U62" i="10"/>
  <c r="N62" i="10"/>
  <c r="M62" i="10"/>
  <c r="F62" i="10"/>
  <c r="E62" i="10"/>
  <c r="AP61" i="10"/>
  <c r="AO61" i="10"/>
  <c r="AL61" i="10"/>
  <c r="AK61" i="10"/>
  <c r="AD61" i="10"/>
  <c r="AC61" i="10"/>
  <c r="V61" i="10"/>
  <c r="U61" i="10"/>
  <c r="N61" i="10"/>
  <c r="M61" i="10"/>
  <c r="F61" i="10"/>
  <c r="E61" i="10"/>
  <c r="AL60" i="10"/>
  <c r="AK60" i="10"/>
  <c r="AD60" i="10"/>
  <c r="AC60" i="10"/>
  <c r="V60" i="10"/>
  <c r="U60" i="10"/>
  <c r="M60" i="10"/>
  <c r="F60" i="10"/>
  <c r="E60" i="10"/>
  <c r="AO59" i="10"/>
  <c r="AL59" i="10"/>
  <c r="AK59" i="10"/>
  <c r="AD59" i="10"/>
  <c r="AC59" i="10"/>
  <c r="V59" i="10"/>
  <c r="U59" i="10"/>
  <c r="M59" i="10"/>
  <c r="F59" i="10"/>
  <c r="E59" i="10"/>
  <c r="AS58" i="10"/>
  <c r="AP58" i="10"/>
  <c r="AO58" i="10"/>
  <c r="AL58" i="10"/>
  <c r="AK58" i="10"/>
  <c r="AD58" i="10"/>
  <c r="AC58" i="10"/>
  <c r="V58" i="10"/>
  <c r="U58" i="10"/>
  <c r="M58" i="10"/>
  <c r="F58" i="10"/>
  <c r="E58" i="10"/>
  <c r="AL57" i="10"/>
  <c r="AK57" i="10"/>
  <c r="AD57" i="10"/>
  <c r="AC57" i="10"/>
  <c r="V57" i="10"/>
  <c r="U57" i="10"/>
  <c r="M57" i="10"/>
  <c r="F57" i="10"/>
  <c r="E57" i="10"/>
  <c r="AL56" i="10"/>
  <c r="AK56" i="10"/>
  <c r="AD56" i="10"/>
  <c r="AC56" i="10"/>
  <c r="V56" i="10"/>
  <c r="U56" i="10"/>
  <c r="M56" i="10"/>
  <c r="F56" i="10"/>
  <c r="E56" i="10"/>
  <c r="O53" i="10"/>
  <c r="N53" i="10"/>
  <c r="AO52" i="10"/>
  <c r="AL52" i="10"/>
  <c r="AK52" i="10"/>
  <c r="AD52" i="10"/>
  <c r="AC52" i="10"/>
  <c r="V52" i="10"/>
  <c r="U52" i="10"/>
  <c r="N52" i="10"/>
  <c r="M52" i="10"/>
  <c r="F52" i="10"/>
  <c r="E52" i="10"/>
  <c r="AP51" i="10"/>
  <c r="AO51" i="10"/>
  <c r="AL51" i="10"/>
  <c r="AK51" i="10"/>
  <c r="AD51" i="10"/>
  <c r="AC51" i="10"/>
  <c r="V51" i="10"/>
  <c r="U51" i="10"/>
  <c r="N51" i="10"/>
  <c r="M51" i="10"/>
  <c r="F51" i="10"/>
  <c r="E51" i="10"/>
  <c r="AL50" i="10"/>
  <c r="AK50" i="10"/>
  <c r="AJ50" i="10"/>
  <c r="AD50" i="10"/>
  <c r="AC50" i="10"/>
  <c r="AB50" i="10"/>
  <c r="W50" i="10"/>
  <c r="V50" i="10"/>
  <c r="U50" i="10"/>
  <c r="N50" i="10"/>
  <c r="M50" i="10"/>
  <c r="G50" i="10"/>
  <c r="F50" i="10"/>
  <c r="E50" i="10"/>
  <c r="AO49" i="10"/>
  <c r="AP48" i="10"/>
  <c r="AO48" i="10"/>
  <c r="AL48" i="10"/>
  <c r="AK48" i="10"/>
  <c r="AD48" i="10"/>
  <c r="AC48" i="10"/>
  <c r="V48" i="10"/>
  <c r="U48" i="10"/>
  <c r="N48" i="10"/>
  <c r="M48" i="10"/>
  <c r="F48" i="10"/>
  <c r="E48" i="10"/>
  <c r="AL47" i="10"/>
  <c r="AK47" i="10"/>
  <c r="AD47" i="10"/>
  <c r="AC47" i="10"/>
  <c r="V47" i="10"/>
  <c r="U47" i="10"/>
  <c r="M47" i="10"/>
  <c r="F47" i="10"/>
  <c r="E47" i="10"/>
  <c r="AL46" i="10"/>
  <c r="AK46" i="10"/>
  <c r="AD46" i="10"/>
  <c r="AC46" i="10"/>
  <c r="V46" i="10"/>
  <c r="U46" i="10"/>
  <c r="M46" i="10"/>
  <c r="F46" i="10"/>
  <c r="E46" i="10"/>
  <c r="AL45" i="10"/>
  <c r="AK45" i="10"/>
  <c r="AD45" i="10"/>
  <c r="AC45" i="10"/>
  <c r="V45" i="10"/>
  <c r="U45" i="10"/>
  <c r="N45" i="10"/>
  <c r="M45" i="10"/>
  <c r="F45" i="10"/>
  <c r="E45" i="10"/>
  <c r="AL44" i="10"/>
  <c r="AK44" i="10"/>
  <c r="AD44" i="10"/>
  <c r="AC44" i="10"/>
  <c r="V44" i="10"/>
  <c r="U44" i="10"/>
  <c r="N44" i="10"/>
  <c r="M44" i="10"/>
  <c r="F44" i="10"/>
  <c r="E44" i="10"/>
  <c r="AL43" i="10"/>
  <c r="AK43" i="10"/>
  <c r="AD43" i="10"/>
  <c r="AC43" i="10"/>
  <c r="V43" i="10"/>
  <c r="U43" i="10"/>
  <c r="N43" i="10"/>
  <c r="M43" i="10"/>
  <c r="F43" i="10"/>
  <c r="E43" i="10"/>
  <c r="AL42" i="10"/>
  <c r="AK42" i="10"/>
  <c r="AD42" i="10"/>
  <c r="AC42" i="10"/>
  <c r="V42" i="10"/>
  <c r="U42" i="10"/>
  <c r="N42" i="10"/>
  <c r="M42" i="10"/>
  <c r="F42" i="10"/>
  <c r="E42" i="10"/>
  <c r="AL41" i="10"/>
  <c r="AK41" i="10"/>
  <c r="AD41" i="10"/>
  <c r="AC41" i="10"/>
  <c r="V41" i="10"/>
  <c r="U41" i="10"/>
  <c r="N41" i="10"/>
  <c r="M41" i="10"/>
  <c r="F41" i="10"/>
  <c r="E41" i="10"/>
  <c r="AL40" i="10"/>
  <c r="AK40" i="10"/>
  <c r="AD40" i="10"/>
  <c r="AC40" i="10"/>
  <c r="V40" i="10"/>
  <c r="U40" i="10"/>
  <c r="N40" i="10"/>
  <c r="M40" i="10"/>
  <c r="F40" i="10"/>
  <c r="E40" i="10"/>
  <c r="AL39" i="10"/>
  <c r="AK39" i="10"/>
  <c r="AD39" i="10"/>
  <c r="AC39" i="10"/>
  <c r="V39" i="10"/>
  <c r="U39" i="10"/>
  <c r="N39" i="10"/>
  <c r="M39" i="10"/>
  <c r="F39" i="10"/>
  <c r="E39" i="10"/>
  <c r="AL38" i="10"/>
  <c r="AK38" i="10"/>
  <c r="AD38" i="10"/>
  <c r="AC38" i="10"/>
  <c r="V38" i="10"/>
  <c r="U38" i="10"/>
  <c r="N38" i="10"/>
  <c r="M38" i="10"/>
  <c r="F38" i="10"/>
  <c r="E38" i="10"/>
  <c r="AL37" i="10"/>
  <c r="AK37" i="10"/>
  <c r="AD37" i="10"/>
  <c r="AC37" i="10"/>
  <c r="V37" i="10"/>
  <c r="U37" i="10"/>
  <c r="N37" i="10"/>
  <c r="M37" i="10"/>
  <c r="F37" i="10"/>
  <c r="E37" i="10"/>
  <c r="AL36" i="10"/>
  <c r="AK36" i="10"/>
  <c r="AD36" i="10"/>
  <c r="AC36" i="10"/>
  <c r="V36" i="10"/>
  <c r="U36" i="10"/>
  <c r="N36" i="10"/>
  <c r="M36" i="10"/>
  <c r="F36" i="10"/>
  <c r="E36" i="10"/>
  <c r="AL35" i="10"/>
  <c r="AK35" i="10"/>
  <c r="AD35" i="10"/>
  <c r="AC35" i="10"/>
  <c r="V35" i="10"/>
  <c r="U35" i="10"/>
  <c r="M35" i="10"/>
  <c r="F35" i="10"/>
  <c r="E35" i="10"/>
  <c r="AL34" i="10"/>
  <c r="AK34" i="10"/>
  <c r="AD34" i="10"/>
  <c r="AC34" i="10"/>
  <c r="V34" i="10"/>
  <c r="U34" i="10"/>
  <c r="N34" i="10"/>
  <c r="M34" i="10"/>
  <c r="F34" i="10"/>
  <c r="E34" i="10"/>
  <c r="AL33" i="10"/>
  <c r="AK33" i="10"/>
  <c r="AD33" i="10"/>
  <c r="AC33" i="10"/>
  <c r="V33" i="10"/>
  <c r="U33" i="10"/>
  <c r="N33" i="10"/>
  <c r="M33" i="10"/>
  <c r="F33" i="10"/>
  <c r="E33" i="10"/>
  <c r="AL32" i="10"/>
  <c r="AK32" i="10"/>
  <c r="AD32" i="10"/>
  <c r="AC32" i="10"/>
  <c r="V32" i="10"/>
  <c r="U32" i="10"/>
  <c r="N32" i="10"/>
  <c r="M32" i="10"/>
  <c r="F32" i="10"/>
  <c r="E32" i="10"/>
  <c r="AL31" i="10"/>
  <c r="AK31" i="10"/>
  <c r="AD31" i="10"/>
  <c r="AC31" i="10"/>
  <c r="V31" i="10"/>
  <c r="U31" i="10"/>
  <c r="N31" i="10"/>
  <c r="M31" i="10"/>
  <c r="F31" i="10"/>
  <c r="E31" i="10"/>
  <c r="AL30" i="10"/>
  <c r="AK30" i="10"/>
  <c r="AD30" i="10"/>
  <c r="AC30" i="10"/>
  <c r="V30" i="10"/>
  <c r="U30" i="10"/>
  <c r="M30" i="10"/>
  <c r="F30" i="10"/>
  <c r="E30" i="10"/>
  <c r="AL29" i="10"/>
  <c r="AK29" i="10"/>
  <c r="AD29" i="10"/>
  <c r="AC29" i="10"/>
  <c r="V29" i="10"/>
  <c r="U29" i="10"/>
  <c r="N29" i="10"/>
  <c r="M29" i="10"/>
  <c r="F29" i="10"/>
  <c r="E29" i="10"/>
  <c r="AO28" i="10"/>
  <c r="AL28" i="10"/>
  <c r="AK28" i="10"/>
  <c r="AD28" i="10"/>
  <c r="AC28" i="10"/>
  <c r="V28" i="10"/>
  <c r="U28" i="10"/>
  <c r="N28" i="10"/>
  <c r="M28" i="10"/>
  <c r="F28" i="10"/>
  <c r="E28" i="10"/>
  <c r="AO27" i="10"/>
  <c r="AL27" i="10"/>
  <c r="AK27" i="10"/>
  <c r="AD27" i="10"/>
  <c r="AC27" i="10"/>
  <c r="V27" i="10"/>
  <c r="U27" i="10"/>
  <c r="N27" i="10"/>
  <c r="M27" i="10"/>
  <c r="F27" i="10"/>
  <c r="E27" i="10"/>
  <c r="AO26" i="10"/>
  <c r="AL26" i="10"/>
  <c r="AK26" i="10"/>
  <c r="AD26" i="10"/>
  <c r="AC26" i="10"/>
  <c r="V26" i="10"/>
  <c r="U26" i="10"/>
  <c r="N26" i="10"/>
  <c r="M26" i="10"/>
  <c r="F26" i="10"/>
  <c r="E26" i="10"/>
  <c r="AO25" i="10"/>
  <c r="AL25" i="10"/>
  <c r="AK25" i="10"/>
  <c r="AD25" i="10"/>
  <c r="AC25" i="10"/>
  <c r="V25" i="10"/>
  <c r="U25" i="10"/>
  <c r="N25" i="10"/>
  <c r="M25" i="10"/>
  <c r="F25" i="10"/>
  <c r="E25" i="10"/>
  <c r="AL24" i="10"/>
  <c r="AK24" i="10"/>
  <c r="AD24" i="10"/>
  <c r="AC24" i="10"/>
  <c r="V24" i="10"/>
  <c r="U24" i="10"/>
  <c r="N24" i="10"/>
  <c r="M24" i="10"/>
  <c r="F24" i="10"/>
  <c r="E24" i="10"/>
  <c r="AL23" i="10"/>
  <c r="AK23" i="10"/>
  <c r="AD23" i="10"/>
  <c r="AC23" i="10"/>
  <c r="V23" i="10"/>
  <c r="U23" i="10"/>
  <c r="N23" i="10"/>
  <c r="M23" i="10"/>
  <c r="F23" i="10"/>
  <c r="E23" i="10"/>
  <c r="AQ22" i="10"/>
  <c r="AL22" i="10"/>
  <c r="AK22" i="10"/>
  <c r="AD22" i="10"/>
  <c r="AC22" i="10"/>
  <c r="V22" i="10"/>
  <c r="U22" i="10"/>
  <c r="M22" i="10"/>
  <c r="F22" i="10"/>
  <c r="E22" i="10"/>
  <c r="AL21" i="10"/>
  <c r="AK21" i="10"/>
  <c r="AD21" i="10"/>
  <c r="AC21" i="10"/>
  <c r="V21" i="10"/>
  <c r="U21" i="10"/>
  <c r="N21" i="10"/>
  <c r="M21" i="10"/>
  <c r="F21" i="10"/>
  <c r="E21" i="10"/>
  <c r="AO20" i="10"/>
  <c r="AL20" i="10"/>
  <c r="AK20" i="10"/>
  <c r="AD20" i="10"/>
  <c r="AC20" i="10"/>
  <c r="V20" i="10"/>
  <c r="U20" i="10"/>
  <c r="N20" i="10"/>
  <c r="M20" i="10"/>
  <c r="F20" i="10"/>
  <c r="E20" i="10"/>
  <c r="AP19" i="10"/>
  <c r="AO19" i="10"/>
  <c r="AL19" i="10"/>
  <c r="AK19" i="10"/>
  <c r="AD19" i="10"/>
  <c r="AC19" i="10"/>
  <c r="V19" i="10"/>
  <c r="U19" i="10"/>
  <c r="N19" i="10"/>
  <c r="M19" i="10"/>
  <c r="F19" i="10"/>
  <c r="E19" i="10"/>
  <c r="AL18" i="10"/>
  <c r="AK18" i="10"/>
  <c r="AD18" i="10"/>
  <c r="AC18" i="10"/>
  <c r="V18" i="10"/>
  <c r="U18" i="10"/>
  <c r="N18" i="10"/>
  <c r="M18" i="10"/>
  <c r="F18" i="10"/>
  <c r="E18" i="10"/>
  <c r="AL17" i="10"/>
  <c r="AK17" i="10"/>
  <c r="AD17" i="10"/>
  <c r="AC17" i="10"/>
  <c r="V17" i="10"/>
  <c r="U17" i="10"/>
  <c r="M17" i="10"/>
  <c r="F17" i="10"/>
  <c r="E17" i="10"/>
  <c r="AL16" i="10"/>
  <c r="AK16" i="10"/>
  <c r="AD16" i="10"/>
  <c r="AC16" i="10"/>
  <c r="V16" i="10"/>
  <c r="U16" i="10"/>
  <c r="M16" i="10"/>
  <c r="F16" i="10"/>
  <c r="E16" i="10"/>
  <c r="AL15" i="10"/>
  <c r="AK15" i="10"/>
  <c r="AD15" i="10"/>
  <c r="AC15" i="10"/>
  <c r="V15" i="10"/>
  <c r="U15" i="10"/>
  <c r="N15" i="10"/>
  <c r="M15" i="10"/>
  <c r="F15" i="10"/>
  <c r="E15" i="10"/>
  <c r="AL14" i="10"/>
  <c r="AK14" i="10"/>
  <c r="AD14" i="10"/>
  <c r="AC14" i="10"/>
  <c r="V14" i="10"/>
  <c r="U14" i="10"/>
  <c r="M14" i="10"/>
  <c r="F14" i="10"/>
  <c r="E14" i="10"/>
  <c r="AT13" i="10"/>
  <c r="AL13" i="10"/>
  <c r="AK13" i="10"/>
  <c r="AD13" i="10"/>
  <c r="AC13" i="10"/>
  <c r="V13" i="10"/>
  <c r="U13" i="10"/>
  <c r="M13" i="10"/>
  <c r="F13" i="10"/>
  <c r="E13" i="10"/>
  <c r="AT12" i="10"/>
  <c r="AL12" i="10"/>
  <c r="AK12" i="10"/>
  <c r="AD12" i="10"/>
  <c r="AC12" i="10"/>
  <c r="V12" i="10"/>
  <c r="U12" i="10"/>
  <c r="M12" i="10"/>
  <c r="F12" i="10"/>
  <c r="E12" i="10"/>
  <c r="AT11" i="10"/>
  <c r="AL11" i="10"/>
  <c r="AK11" i="10"/>
  <c r="AD11" i="10"/>
  <c r="AC11" i="10"/>
  <c r="V11" i="10"/>
  <c r="U11" i="10"/>
  <c r="M11" i="10"/>
  <c r="F11" i="10"/>
  <c r="E11" i="10"/>
  <c r="AT10" i="10"/>
  <c r="AL10" i="10"/>
  <c r="AK10" i="10"/>
  <c r="AD10" i="10"/>
  <c r="AC10" i="10"/>
  <c r="V10" i="10"/>
  <c r="U10" i="10"/>
  <c r="M10" i="10"/>
  <c r="F10" i="10"/>
  <c r="E10" i="10"/>
  <c r="AT9" i="10"/>
  <c r="AL9" i="10"/>
  <c r="AK9" i="10"/>
  <c r="AD9" i="10"/>
  <c r="AC9" i="10"/>
  <c r="V9" i="10"/>
  <c r="U9" i="10"/>
  <c r="M9" i="10"/>
  <c r="F9" i="10"/>
  <c r="E9" i="10"/>
  <c r="AT8" i="10"/>
  <c r="AL8" i="10"/>
  <c r="AK8" i="10"/>
  <c r="AD8" i="10"/>
  <c r="AC8" i="10"/>
  <c r="V8" i="10"/>
  <c r="U8" i="10"/>
  <c r="M8" i="10"/>
  <c r="F8" i="10"/>
  <c r="E8" i="10"/>
  <c r="AT7" i="10"/>
  <c r="AL7" i="10"/>
  <c r="AK7" i="10"/>
  <c r="AD7" i="10"/>
  <c r="AC7" i="10"/>
  <c r="V7" i="10"/>
  <c r="U7" i="10"/>
  <c r="M7" i="10"/>
  <c r="F7" i="10"/>
  <c r="E7" i="10"/>
  <c r="AT6" i="10"/>
  <c r="AL6" i="10"/>
  <c r="AK6" i="10"/>
  <c r="AD6" i="10"/>
  <c r="AC6" i="10"/>
  <c r="V6" i="10"/>
  <c r="U6" i="10"/>
  <c r="M6" i="10"/>
  <c r="F6" i="10"/>
  <c r="E6" i="10"/>
  <c r="AT5" i="10"/>
  <c r="AL5" i="10"/>
  <c r="AK5" i="10"/>
  <c r="AD5" i="10"/>
  <c r="AC5" i="10"/>
  <c r="V5" i="10"/>
  <c r="U5" i="10"/>
  <c r="M5" i="10"/>
  <c r="F5" i="10"/>
  <c r="E5" i="10"/>
  <c r="AT4" i="10"/>
  <c r="AL4" i="10"/>
  <c r="AK4" i="10"/>
  <c r="AD4" i="10"/>
  <c r="AC4" i="10"/>
  <c r="V4" i="10"/>
  <c r="U4" i="10"/>
  <c r="M4" i="10"/>
  <c r="F4" i="10"/>
  <c r="E4" i="10"/>
  <c r="AP66" i="9"/>
  <c r="AM64" i="9"/>
  <c r="AL64" i="9"/>
  <c r="AG64" i="9"/>
  <c r="AF64" i="9"/>
  <c r="Y64" i="9"/>
  <c r="X64" i="9"/>
  <c r="Q64" i="9"/>
  <c r="P64" i="9"/>
  <c r="I64" i="9"/>
  <c r="H64" i="9"/>
  <c r="AP62" i="9"/>
  <c r="AM62" i="9"/>
  <c r="AL62" i="9"/>
  <c r="AG62" i="9"/>
  <c r="AF62" i="9"/>
  <c r="Y62" i="9"/>
  <c r="X62" i="9"/>
  <c r="Q62" i="9"/>
  <c r="P62" i="9"/>
  <c r="I62" i="9"/>
  <c r="H62" i="9"/>
  <c r="AQ61" i="9"/>
  <c r="AP61" i="9"/>
  <c r="AM61" i="9"/>
  <c r="AL61" i="9"/>
  <c r="AG61" i="9"/>
  <c r="AF61" i="9"/>
  <c r="Y61" i="9"/>
  <c r="X61" i="9"/>
  <c r="Q61" i="9"/>
  <c r="P61" i="9"/>
  <c r="I61" i="9"/>
  <c r="H61" i="9"/>
  <c r="AM60" i="9"/>
  <c r="AL60" i="9"/>
  <c r="AG60" i="9"/>
  <c r="AF60" i="9"/>
  <c r="Y60" i="9"/>
  <c r="X60" i="9"/>
  <c r="Q60" i="9"/>
  <c r="P60" i="9"/>
  <c r="I60" i="9"/>
  <c r="H60" i="9"/>
  <c r="AP59" i="9"/>
  <c r="AM59" i="9"/>
  <c r="AL59" i="9"/>
  <c r="AG59" i="9"/>
  <c r="AF59" i="9"/>
  <c r="Y59" i="9"/>
  <c r="X59" i="9"/>
  <c r="Q59" i="9"/>
  <c r="P59" i="9"/>
  <c r="I59" i="9"/>
  <c r="H59" i="9"/>
  <c r="AT58" i="9"/>
  <c r="AQ58" i="9"/>
  <c r="AP58" i="9"/>
  <c r="AM58" i="9"/>
  <c r="AL58" i="9"/>
  <c r="AG58" i="9"/>
  <c r="AF58" i="9"/>
  <c r="Y58" i="9"/>
  <c r="X58" i="9"/>
  <c r="Q58" i="9"/>
  <c r="P58" i="9"/>
  <c r="I58" i="9"/>
  <c r="H58" i="9"/>
  <c r="AM57" i="9"/>
  <c r="AL57" i="9"/>
  <c r="AG57" i="9"/>
  <c r="AF57" i="9"/>
  <c r="Y57" i="9"/>
  <c r="X57" i="9"/>
  <c r="Q57" i="9"/>
  <c r="P57" i="9"/>
  <c r="I57" i="9"/>
  <c r="H57" i="9"/>
  <c r="AM56" i="9"/>
  <c r="AL56" i="9"/>
  <c r="AG56" i="9"/>
  <c r="AF56" i="9"/>
  <c r="Y56" i="9"/>
  <c r="X56" i="9"/>
  <c r="Q56" i="9"/>
  <c r="P56" i="9"/>
  <c r="I56" i="9"/>
  <c r="H56" i="9"/>
  <c r="R53" i="9"/>
  <c r="Q53" i="9"/>
  <c r="AP52" i="9"/>
  <c r="AM52" i="9"/>
  <c r="AL52" i="9"/>
  <c r="AG52" i="9"/>
  <c r="AF52" i="9"/>
  <c r="Y52" i="9"/>
  <c r="X52" i="9"/>
  <c r="Q52" i="9"/>
  <c r="P52" i="9"/>
  <c r="I52" i="9"/>
  <c r="H52" i="9"/>
  <c r="AQ51" i="9"/>
  <c r="AP51" i="9"/>
  <c r="AM51" i="9"/>
  <c r="AL51" i="9"/>
  <c r="AG51" i="9"/>
  <c r="AF51" i="9"/>
  <c r="Y51" i="9"/>
  <c r="X51" i="9"/>
  <c r="Q51" i="9"/>
  <c r="P51" i="9"/>
  <c r="I51" i="9"/>
  <c r="H51" i="9"/>
  <c r="AM50" i="9"/>
  <c r="AL50" i="9"/>
  <c r="AK50" i="9"/>
  <c r="AG50" i="9"/>
  <c r="AF50" i="9"/>
  <c r="AE50" i="9"/>
  <c r="Z50" i="9"/>
  <c r="Y50" i="9"/>
  <c r="X50" i="9"/>
  <c r="Q50" i="9"/>
  <c r="P50" i="9"/>
  <c r="I50" i="9"/>
  <c r="H50" i="9"/>
  <c r="AP49" i="9"/>
  <c r="AQ48" i="9"/>
  <c r="AP48" i="9"/>
  <c r="AM48" i="9"/>
  <c r="AL48" i="9"/>
  <c r="AG48" i="9"/>
  <c r="AF48" i="9"/>
  <c r="Y48" i="9"/>
  <c r="X48" i="9"/>
  <c r="Q48" i="9"/>
  <c r="P48" i="9"/>
  <c r="I48" i="9"/>
  <c r="H48" i="9"/>
  <c r="AM47" i="9"/>
  <c r="AL47" i="9"/>
  <c r="AG47" i="9"/>
  <c r="AF47" i="9"/>
  <c r="Y47" i="9"/>
  <c r="X47" i="9"/>
  <c r="Q47" i="9"/>
  <c r="P47" i="9"/>
  <c r="I47" i="9"/>
  <c r="H47" i="9"/>
  <c r="AM46" i="9"/>
  <c r="AL46" i="9"/>
  <c r="AG46" i="9"/>
  <c r="AF46" i="9"/>
  <c r="Y46" i="9"/>
  <c r="X46" i="9"/>
  <c r="Q46" i="9"/>
  <c r="P46" i="9"/>
  <c r="I46" i="9"/>
  <c r="H46" i="9"/>
  <c r="AM45" i="9"/>
  <c r="AL45" i="9"/>
  <c r="AG45" i="9"/>
  <c r="AF45" i="9"/>
  <c r="Y45" i="9"/>
  <c r="X45" i="9"/>
  <c r="Q45" i="9"/>
  <c r="P45" i="9"/>
  <c r="I45" i="9"/>
  <c r="H45" i="9"/>
  <c r="AM44" i="9"/>
  <c r="AL44" i="9"/>
  <c r="AG44" i="9"/>
  <c r="AF44" i="9"/>
  <c r="Y44" i="9"/>
  <c r="X44" i="9"/>
  <c r="Q44" i="9"/>
  <c r="P44" i="9"/>
  <c r="I44" i="9"/>
  <c r="H44" i="9"/>
  <c r="AM43" i="9"/>
  <c r="AL43" i="9"/>
  <c r="AG43" i="9"/>
  <c r="AF43" i="9"/>
  <c r="Y43" i="9"/>
  <c r="X43" i="9"/>
  <c r="Q43" i="9"/>
  <c r="P43" i="9"/>
  <c r="I43" i="9"/>
  <c r="H43" i="9"/>
  <c r="AM42" i="9"/>
  <c r="AL42" i="9"/>
  <c r="AG42" i="9"/>
  <c r="AF42" i="9"/>
  <c r="Y42" i="9"/>
  <c r="X42" i="9"/>
  <c r="Q42" i="9"/>
  <c r="P42" i="9"/>
  <c r="I42" i="9"/>
  <c r="H42" i="9"/>
  <c r="AM41" i="9"/>
  <c r="AL41" i="9"/>
  <c r="AG41" i="9"/>
  <c r="AF41" i="9"/>
  <c r="Y41" i="9"/>
  <c r="X41" i="9"/>
  <c r="Q41" i="9"/>
  <c r="P41" i="9"/>
  <c r="I41" i="9"/>
  <c r="H41" i="9"/>
  <c r="AM40" i="9"/>
  <c r="AL40" i="9"/>
  <c r="AG40" i="9"/>
  <c r="AF40" i="9"/>
  <c r="Y40" i="9"/>
  <c r="X40" i="9"/>
  <c r="Q40" i="9"/>
  <c r="P40" i="9"/>
  <c r="I40" i="9"/>
  <c r="H40" i="9"/>
  <c r="AM39" i="9"/>
  <c r="AL39" i="9"/>
  <c r="AG39" i="9"/>
  <c r="AF39" i="9"/>
  <c r="Y39" i="9"/>
  <c r="X39" i="9"/>
  <c r="Q39" i="9"/>
  <c r="P39" i="9"/>
  <c r="I39" i="9"/>
  <c r="H39" i="9"/>
  <c r="AM38" i="9"/>
  <c r="AL38" i="9"/>
  <c r="AG38" i="9"/>
  <c r="AF38" i="9"/>
  <c r="Y38" i="9"/>
  <c r="X38" i="9"/>
  <c r="Q38" i="9"/>
  <c r="P38" i="9"/>
  <c r="I38" i="9"/>
  <c r="H38" i="9"/>
  <c r="AM37" i="9"/>
  <c r="AL37" i="9"/>
  <c r="AG37" i="9"/>
  <c r="AF37" i="9"/>
  <c r="Y37" i="9"/>
  <c r="X37" i="9"/>
  <c r="Q37" i="9"/>
  <c r="P37" i="9"/>
  <c r="I37" i="9"/>
  <c r="H37" i="9"/>
  <c r="AM36" i="9"/>
  <c r="AL36" i="9"/>
  <c r="AG36" i="9"/>
  <c r="AF36" i="9"/>
  <c r="Y36" i="9"/>
  <c r="X36" i="9"/>
  <c r="Q36" i="9"/>
  <c r="P36" i="9"/>
  <c r="I36" i="9"/>
  <c r="H36" i="9"/>
  <c r="AM35" i="9"/>
  <c r="AL35" i="9"/>
  <c r="AG35" i="9"/>
  <c r="AF35" i="9"/>
  <c r="Y35" i="9"/>
  <c r="X35" i="9"/>
  <c r="Q35" i="9"/>
  <c r="P35" i="9"/>
  <c r="I35" i="9"/>
  <c r="H35" i="9"/>
  <c r="AM34" i="9"/>
  <c r="AL34" i="9"/>
  <c r="AG34" i="9"/>
  <c r="AF34" i="9"/>
  <c r="Y34" i="9"/>
  <c r="X34" i="9"/>
  <c r="Q34" i="9"/>
  <c r="P34" i="9"/>
  <c r="I34" i="9"/>
  <c r="H34" i="9"/>
  <c r="AM33" i="9"/>
  <c r="AL33" i="9"/>
  <c r="AG33" i="9"/>
  <c r="AF33" i="9"/>
  <c r="Y33" i="9"/>
  <c r="X33" i="9"/>
  <c r="Q33" i="9"/>
  <c r="P33" i="9"/>
  <c r="I33" i="9"/>
  <c r="H33" i="9"/>
  <c r="AM32" i="9"/>
  <c r="AL32" i="9"/>
  <c r="AG32" i="9"/>
  <c r="AF32" i="9"/>
  <c r="Y32" i="9"/>
  <c r="X32" i="9"/>
  <c r="Q32" i="9"/>
  <c r="P32" i="9"/>
  <c r="I32" i="9"/>
  <c r="H32" i="9"/>
  <c r="AM31" i="9"/>
  <c r="AL31" i="9"/>
  <c r="AG31" i="9"/>
  <c r="AF31" i="9"/>
  <c r="Y31" i="9"/>
  <c r="X31" i="9"/>
  <c r="Q31" i="9"/>
  <c r="P31" i="9"/>
  <c r="I31" i="9"/>
  <c r="H31" i="9"/>
  <c r="AM30" i="9"/>
  <c r="AL30" i="9"/>
  <c r="AG30" i="9"/>
  <c r="AF30" i="9"/>
  <c r="Y30" i="9"/>
  <c r="X30" i="9"/>
  <c r="Q30" i="9"/>
  <c r="P30" i="9"/>
  <c r="I30" i="9"/>
  <c r="H30" i="9"/>
  <c r="AM29" i="9"/>
  <c r="AL29" i="9"/>
  <c r="AG29" i="9"/>
  <c r="AF29" i="9"/>
  <c r="Y29" i="9"/>
  <c r="X29" i="9"/>
  <c r="Q29" i="9"/>
  <c r="P29" i="9"/>
  <c r="I29" i="9"/>
  <c r="H29" i="9"/>
  <c r="AP28" i="9"/>
  <c r="AM28" i="9"/>
  <c r="AL28" i="9"/>
  <c r="AG28" i="9"/>
  <c r="AF28" i="9"/>
  <c r="Y28" i="9"/>
  <c r="X28" i="9"/>
  <c r="Q28" i="9"/>
  <c r="P28" i="9"/>
  <c r="I28" i="9"/>
  <c r="H28" i="9"/>
  <c r="AP27" i="9"/>
  <c r="AM27" i="9"/>
  <c r="AL27" i="9"/>
  <c r="AG27" i="9"/>
  <c r="AF27" i="9"/>
  <c r="Y27" i="9"/>
  <c r="X27" i="9"/>
  <c r="Q27" i="9"/>
  <c r="P27" i="9"/>
  <c r="I27" i="9"/>
  <c r="H27" i="9"/>
  <c r="AP26" i="9"/>
  <c r="AM26" i="9"/>
  <c r="AL26" i="9"/>
  <c r="AG26" i="9"/>
  <c r="AF26" i="9"/>
  <c r="Y26" i="9"/>
  <c r="X26" i="9"/>
  <c r="Q26" i="9"/>
  <c r="P26" i="9"/>
  <c r="I26" i="9"/>
  <c r="H26" i="9"/>
  <c r="AP25" i="9"/>
  <c r="AM25" i="9"/>
  <c r="AL25" i="9"/>
  <c r="AG25" i="9"/>
  <c r="AF25" i="9"/>
  <c r="Y25" i="9"/>
  <c r="X25" i="9"/>
  <c r="Q25" i="9"/>
  <c r="P25" i="9"/>
  <c r="I25" i="9"/>
  <c r="H25" i="9"/>
  <c r="AM24" i="9"/>
  <c r="AL24" i="9"/>
  <c r="AG24" i="9"/>
  <c r="AF24" i="9"/>
  <c r="Y24" i="9"/>
  <c r="X24" i="9"/>
  <c r="Q24" i="9"/>
  <c r="P24" i="9"/>
  <c r="I24" i="9"/>
  <c r="H24" i="9"/>
  <c r="AM23" i="9"/>
  <c r="AL23" i="9"/>
  <c r="AG23" i="9"/>
  <c r="AF23" i="9"/>
  <c r="Y23" i="9"/>
  <c r="X23" i="9"/>
  <c r="Q23" i="9"/>
  <c r="P23" i="9"/>
  <c r="I23" i="9"/>
  <c r="H23" i="9"/>
  <c r="AR22" i="9"/>
  <c r="AM22" i="9"/>
  <c r="AL22" i="9"/>
  <c r="AG22" i="9"/>
  <c r="AF22" i="9"/>
  <c r="Y22" i="9"/>
  <c r="X22" i="9"/>
  <c r="Q22" i="9"/>
  <c r="P22" i="9"/>
  <c r="I22" i="9"/>
  <c r="H22" i="9"/>
  <c r="AM21" i="9"/>
  <c r="AL21" i="9"/>
  <c r="AG21" i="9"/>
  <c r="AF21" i="9"/>
  <c r="Y21" i="9"/>
  <c r="X21" i="9"/>
  <c r="Q21" i="9"/>
  <c r="P21" i="9"/>
  <c r="I21" i="9"/>
  <c r="H21" i="9"/>
  <c r="AP20" i="9"/>
  <c r="AM20" i="9"/>
  <c r="AL20" i="9"/>
  <c r="AG20" i="9"/>
  <c r="AF20" i="9"/>
  <c r="Y20" i="9"/>
  <c r="X20" i="9"/>
  <c r="Q20" i="9"/>
  <c r="P20" i="9"/>
  <c r="I20" i="9"/>
  <c r="H20" i="9"/>
  <c r="AQ19" i="9"/>
  <c r="AP19" i="9"/>
  <c r="AM19" i="9"/>
  <c r="AL19" i="9"/>
  <c r="AG19" i="9"/>
  <c r="AF19" i="9"/>
  <c r="Y19" i="9"/>
  <c r="X19" i="9"/>
  <c r="Q19" i="9"/>
  <c r="P19" i="9"/>
  <c r="I19" i="9"/>
  <c r="H19" i="9"/>
  <c r="AM18" i="9"/>
  <c r="AL18" i="9"/>
  <c r="AG18" i="9"/>
  <c r="AF18" i="9"/>
  <c r="Y18" i="9"/>
  <c r="X18" i="9"/>
  <c r="Q18" i="9"/>
  <c r="P18" i="9"/>
  <c r="I18" i="9"/>
  <c r="H18" i="9"/>
  <c r="AM17" i="9"/>
  <c r="AL17" i="9"/>
  <c r="AG17" i="9"/>
  <c r="AF17" i="9"/>
  <c r="Y17" i="9"/>
  <c r="X17" i="9"/>
  <c r="Q17" i="9"/>
  <c r="P17" i="9"/>
  <c r="I17" i="9"/>
  <c r="H17" i="9"/>
  <c r="AM16" i="9"/>
  <c r="AL16" i="9"/>
  <c r="AG16" i="9"/>
  <c r="AF16" i="9"/>
  <c r="Y16" i="9"/>
  <c r="X16" i="9"/>
  <c r="Q16" i="9"/>
  <c r="P16" i="9"/>
  <c r="I16" i="9"/>
  <c r="H16" i="9"/>
  <c r="AM15" i="9"/>
  <c r="AL15" i="9"/>
  <c r="AG15" i="9"/>
  <c r="AF15" i="9"/>
  <c r="Y15" i="9"/>
  <c r="X15" i="9"/>
  <c r="Q15" i="9"/>
  <c r="P15" i="9"/>
  <c r="I15" i="9"/>
  <c r="H15" i="9"/>
  <c r="AM14" i="9"/>
  <c r="AL14" i="9"/>
  <c r="AG14" i="9"/>
  <c r="AF14" i="9"/>
  <c r="Y14" i="9"/>
  <c r="X14" i="9"/>
  <c r="Q14" i="9"/>
  <c r="P14" i="9"/>
  <c r="I14" i="9"/>
  <c r="H14" i="9"/>
  <c r="AU13" i="9"/>
  <c r="AM13" i="9"/>
  <c r="AL13" i="9"/>
  <c r="AG13" i="9"/>
  <c r="AF13" i="9"/>
  <c r="Y13" i="9"/>
  <c r="X13" i="9"/>
  <c r="Q13" i="9"/>
  <c r="P13" i="9"/>
  <c r="I13" i="9"/>
  <c r="H13" i="9"/>
  <c r="AU12" i="9"/>
  <c r="AM12" i="9"/>
  <c r="AL12" i="9"/>
  <c r="AG12" i="9"/>
  <c r="AF12" i="9"/>
  <c r="Y12" i="9"/>
  <c r="X12" i="9"/>
  <c r="Q12" i="9"/>
  <c r="P12" i="9"/>
  <c r="I12" i="9"/>
  <c r="H12" i="9"/>
  <c r="AU11" i="9"/>
  <c r="AM11" i="9"/>
  <c r="AL11" i="9"/>
  <c r="AG11" i="9"/>
  <c r="AF11" i="9"/>
  <c r="Y11" i="9"/>
  <c r="X11" i="9"/>
  <c r="Q11" i="9"/>
  <c r="P11" i="9"/>
  <c r="I11" i="9"/>
  <c r="H11" i="9"/>
  <c r="AU10" i="9"/>
  <c r="AM10" i="9"/>
  <c r="AL10" i="9"/>
  <c r="AG10" i="9"/>
  <c r="AF10" i="9"/>
  <c r="Y10" i="9"/>
  <c r="X10" i="9"/>
  <c r="Q10" i="9"/>
  <c r="P10" i="9"/>
  <c r="I10" i="9"/>
  <c r="H10" i="9"/>
  <c r="AU9" i="9"/>
  <c r="AM9" i="9"/>
  <c r="AL9" i="9"/>
  <c r="AG9" i="9"/>
  <c r="AF9" i="9"/>
  <c r="Y9" i="9"/>
  <c r="X9" i="9"/>
  <c r="Q9" i="9"/>
  <c r="P9" i="9"/>
  <c r="I9" i="9"/>
  <c r="H9" i="9"/>
  <c r="AU8" i="9"/>
  <c r="AM8" i="9"/>
  <c r="AL8" i="9"/>
  <c r="AG8" i="9"/>
  <c r="AF8" i="9"/>
  <c r="Y8" i="9"/>
  <c r="X8" i="9"/>
  <c r="Q8" i="9"/>
  <c r="P8" i="9"/>
  <c r="I8" i="9"/>
  <c r="H8" i="9"/>
  <c r="AU7" i="9"/>
  <c r="AM7" i="9"/>
  <c r="AL7" i="9"/>
  <c r="AG7" i="9"/>
  <c r="AF7" i="9"/>
  <c r="Y7" i="9"/>
  <c r="X7" i="9"/>
  <c r="Q7" i="9"/>
  <c r="P7" i="9"/>
  <c r="I7" i="9"/>
  <c r="H7" i="9"/>
  <c r="AU6" i="9"/>
  <c r="AM6" i="9"/>
  <c r="AL6" i="9"/>
  <c r="AG6" i="9"/>
  <c r="AF6" i="9"/>
  <c r="Y6" i="9"/>
  <c r="X6" i="9"/>
  <c r="Q6" i="9"/>
  <c r="P6" i="9"/>
  <c r="I6" i="9"/>
  <c r="H6" i="9"/>
  <c r="AU5" i="9"/>
  <c r="AM5" i="9"/>
  <c r="AL5" i="9"/>
  <c r="AG5" i="9"/>
  <c r="AF5" i="9"/>
  <c r="Y5" i="9"/>
  <c r="X5" i="9"/>
  <c r="Q5" i="9"/>
  <c r="P5" i="9"/>
  <c r="I5" i="9"/>
  <c r="H5" i="9"/>
  <c r="AU4" i="9"/>
  <c r="AM4" i="9"/>
  <c r="AL4" i="9"/>
  <c r="AG4" i="9"/>
  <c r="AF4" i="9"/>
  <c r="Y4" i="9"/>
  <c r="X4" i="9"/>
  <c r="Q4" i="9"/>
  <c r="P4" i="9"/>
  <c r="I4" i="9"/>
  <c r="H4" i="9"/>
  <c r="AL66" i="8"/>
  <c r="AI64" i="8"/>
  <c r="AH64" i="8"/>
  <c r="Z64" i="8"/>
  <c r="Y64" i="8"/>
  <c r="R64" i="8"/>
  <c r="Q64" i="8"/>
  <c r="J64" i="8"/>
  <c r="I64" i="8"/>
  <c r="AL62" i="8"/>
  <c r="AI62" i="8"/>
  <c r="AH62" i="8"/>
  <c r="Z62" i="8"/>
  <c r="Y62" i="8"/>
  <c r="R62" i="8"/>
  <c r="Q62" i="8"/>
  <c r="J62" i="8"/>
  <c r="I62" i="8"/>
  <c r="AM61" i="8"/>
  <c r="AL61" i="8"/>
  <c r="AI61" i="8"/>
  <c r="AH61" i="8"/>
  <c r="Z61" i="8"/>
  <c r="Y61" i="8"/>
  <c r="R61" i="8"/>
  <c r="Q61" i="8"/>
  <c r="J61" i="8"/>
  <c r="I61" i="8"/>
  <c r="AI60" i="8"/>
  <c r="AH60" i="8"/>
  <c r="Z60" i="8"/>
  <c r="Y60" i="8"/>
  <c r="R60" i="8"/>
  <c r="Q60" i="8"/>
  <c r="J60" i="8"/>
  <c r="I60" i="8"/>
  <c r="AL59" i="8"/>
  <c r="AI59" i="8"/>
  <c r="AH59" i="8"/>
  <c r="Z59" i="8"/>
  <c r="Y59" i="8"/>
  <c r="R59" i="8"/>
  <c r="Q59" i="8"/>
  <c r="J59" i="8"/>
  <c r="I59" i="8"/>
  <c r="AP58" i="8"/>
  <c r="AM58" i="8"/>
  <c r="AL58" i="8"/>
  <c r="AI58" i="8"/>
  <c r="AH58" i="8"/>
  <c r="Z58" i="8"/>
  <c r="Y58" i="8"/>
  <c r="R58" i="8"/>
  <c r="Q58" i="8"/>
  <c r="J58" i="8"/>
  <c r="I58" i="8"/>
  <c r="AI57" i="8"/>
  <c r="AH57" i="8"/>
  <c r="Z57" i="8"/>
  <c r="Y57" i="8"/>
  <c r="R57" i="8"/>
  <c r="Q57" i="8"/>
  <c r="J57" i="8"/>
  <c r="I57" i="8"/>
  <c r="AI56" i="8"/>
  <c r="AH56" i="8"/>
  <c r="Z56" i="8"/>
  <c r="Y56" i="8"/>
  <c r="R56" i="8"/>
  <c r="Q56" i="8"/>
  <c r="J56" i="8"/>
  <c r="I56" i="8"/>
  <c r="S53" i="8"/>
  <c r="R53" i="8"/>
  <c r="AL52" i="8"/>
  <c r="AI52" i="8"/>
  <c r="AH52" i="8"/>
  <c r="Z52" i="8"/>
  <c r="Y52" i="8"/>
  <c r="R52" i="8"/>
  <c r="Q52" i="8"/>
  <c r="J52" i="8"/>
  <c r="I52" i="8"/>
  <c r="AM51" i="8"/>
  <c r="AL51" i="8"/>
  <c r="AI51" i="8"/>
  <c r="AH51" i="8"/>
  <c r="Z51" i="8"/>
  <c r="Y51" i="8"/>
  <c r="R51" i="8"/>
  <c r="Q51" i="8"/>
  <c r="J51" i="8"/>
  <c r="I51" i="8"/>
  <c r="AI50" i="8"/>
  <c r="AH50" i="8"/>
  <c r="AF50" i="8"/>
  <c r="AA50" i="8"/>
  <c r="Z50" i="8"/>
  <c r="Y50" i="8"/>
  <c r="R50" i="8"/>
  <c r="Q50" i="8"/>
  <c r="J50" i="8"/>
  <c r="I50" i="8"/>
  <c r="AL49" i="8"/>
  <c r="AM48" i="8"/>
  <c r="AL48" i="8"/>
  <c r="AI48" i="8"/>
  <c r="AH48" i="8"/>
  <c r="Z48" i="8"/>
  <c r="Y48" i="8"/>
  <c r="R48" i="8"/>
  <c r="Q48" i="8"/>
  <c r="J48" i="8"/>
  <c r="I48" i="8"/>
  <c r="AI47" i="8"/>
  <c r="AH47" i="8"/>
  <c r="Z47" i="8"/>
  <c r="Y47" i="8"/>
  <c r="R47" i="8"/>
  <c r="Q47" i="8"/>
  <c r="J47" i="8"/>
  <c r="I47" i="8"/>
  <c r="AI46" i="8"/>
  <c r="AH46" i="8"/>
  <c r="Z46" i="8"/>
  <c r="Y46" i="8"/>
  <c r="R46" i="8"/>
  <c r="Q46" i="8"/>
  <c r="J46" i="8"/>
  <c r="I46" i="8"/>
  <c r="AI45" i="8"/>
  <c r="AH45" i="8"/>
  <c r="Z45" i="8"/>
  <c r="Y45" i="8"/>
  <c r="R45" i="8"/>
  <c r="Q45" i="8"/>
  <c r="J45" i="8"/>
  <c r="I45" i="8"/>
  <c r="AI44" i="8"/>
  <c r="AH44" i="8"/>
  <c r="Z44" i="8"/>
  <c r="Y44" i="8"/>
  <c r="R44" i="8"/>
  <c r="Q44" i="8"/>
  <c r="J44" i="8"/>
  <c r="I44" i="8"/>
  <c r="AI43" i="8"/>
  <c r="AH43" i="8"/>
  <c r="Z43" i="8"/>
  <c r="Y43" i="8"/>
  <c r="R43" i="8"/>
  <c r="Q43" i="8"/>
  <c r="J43" i="8"/>
  <c r="I43" i="8"/>
  <c r="AI42" i="8"/>
  <c r="AH42" i="8"/>
  <c r="Z42" i="8"/>
  <c r="Y42" i="8"/>
  <c r="R42" i="8"/>
  <c r="Q42" i="8"/>
  <c r="J42" i="8"/>
  <c r="I42" i="8"/>
  <c r="AI41" i="8"/>
  <c r="AH41" i="8"/>
  <c r="Z41" i="8"/>
  <c r="Y41" i="8"/>
  <c r="R41" i="8"/>
  <c r="Q41" i="8"/>
  <c r="J41" i="8"/>
  <c r="I41" i="8"/>
  <c r="AI40" i="8"/>
  <c r="AH40" i="8"/>
  <c r="Z40" i="8"/>
  <c r="Y40" i="8"/>
  <c r="R40" i="8"/>
  <c r="Q40" i="8"/>
  <c r="J40" i="8"/>
  <c r="I40" i="8"/>
  <c r="AI39" i="8"/>
  <c r="AH39" i="8"/>
  <c r="Z39" i="8"/>
  <c r="Y39" i="8"/>
  <c r="R39" i="8"/>
  <c r="Q39" i="8"/>
  <c r="J39" i="8"/>
  <c r="I39" i="8"/>
  <c r="AI38" i="8"/>
  <c r="AH38" i="8"/>
  <c r="Z38" i="8"/>
  <c r="Y38" i="8"/>
  <c r="R38" i="8"/>
  <c r="Q38" i="8"/>
  <c r="J38" i="8"/>
  <c r="I38" i="8"/>
  <c r="AI37" i="8"/>
  <c r="AH37" i="8"/>
  <c r="Z37" i="8"/>
  <c r="Y37" i="8"/>
  <c r="R37" i="8"/>
  <c r="Q37" i="8"/>
  <c r="J37" i="8"/>
  <c r="I37" i="8"/>
  <c r="AI36" i="8"/>
  <c r="AH36" i="8"/>
  <c r="Z36" i="8"/>
  <c r="Y36" i="8"/>
  <c r="R36" i="8"/>
  <c r="Q36" i="8"/>
  <c r="J36" i="8"/>
  <c r="I36" i="8"/>
  <c r="AI35" i="8"/>
  <c r="AH35" i="8"/>
  <c r="Z35" i="8"/>
  <c r="Y35" i="8"/>
  <c r="R35" i="8"/>
  <c r="Q35" i="8"/>
  <c r="J35" i="8"/>
  <c r="I35" i="8"/>
  <c r="AI34" i="8"/>
  <c r="AH34" i="8"/>
  <c r="Z34" i="8"/>
  <c r="Y34" i="8"/>
  <c r="R34" i="8"/>
  <c r="Q34" i="8"/>
  <c r="J34" i="8"/>
  <c r="I34" i="8"/>
  <c r="AI33" i="8"/>
  <c r="AH33" i="8"/>
  <c r="Z33" i="8"/>
  <c r="Y33" i="8"/>
  <c r="R33" i="8"/>
  <c r="Q33" i="8"/>
  <c r="J33" i="8"/>
  <c r="I33" i="8"/>
  <c r="AI32" i="8"/>
  <c r="AH32" i="8"/>
  <c r="Z32" i="8"/>
  <c r="Y32" i="8"/>
  <c r="R32" i="8"/>
  <c r="Q32" i="8"/>
  <c r="J32" i="8"/>
  <c r="I32" i="8"/>
  <c r="AI31" i="8"/>
  <c r="AH31" i="8"/>
  <c r="Z31" i="8"/>
  <c r="Y31" i="8"/>
  <c r="R31" i="8"/>
  <c r="Q31" i="8"/>
  <c r="J31" i="8"/>
  <c r="I31" i="8"/>
  <c r="AI30" i="8"/>
  <c r="AH30" i="8"/>
  <c r="Z30" i="8"/>
  <c r="Y30" i="8"/>
  <c r="R30" i="8"/>
  <c r="Q30" i="8"/>
  <c r="J30" i="8"/>
  <c r="I30" i="8"/>
  <c r="AI29" i="8"/>
  <c r="AH29" i="8"/>
  <c r="Z29" i="8"/>
  <c r="Y29" i="8"/>
  <c r="R29" i="8"/>
  <c r="Q29" i="8"/>
  <c r="J29" i="8"/>
  <c r="I29" i="8"/>
  <c r="AL28" i="8"/>
  <c r="AI28" i="8"/>
  <c r="AH28" i="8"/>
  <c r="Z28" i="8"/>
  <c r="Y28" i="8"/>
  <c r="R28" i="8"/>
  <c r="Q28" i="8"/>
  <c r="J28" i="8"/>
  <c r="I28" i="8"/>
  <c r="AL27" i="8"/>
  <c r="AI27" i="8"/>
  <c r="AH27" i="8"/>
  <c r="Z27" i="8"/>
  <c r="Y27" i="8"/>
  <c r="R27" i="8"/>
  <c r="Q27" i="8"/>
  <c r="J27" i="8"/>
  <c r="I27" i="8"/>
  <c r="AL26" i="8"/>
  <c r="AI26" i="8"/>
  <c r="AH26" i="8"/>
  <c r="Z26" i="8"/>
  <c r="Y26" i="8"/>
  <c r="R26" i="8"/>
  <c r="Q26" i="8"/>
  <c r="J26" i="8"/>
  <c r="I26" i="8"/>
  <c r="AL25" i="8"/>
  <c r="AI25" i="8"/>
  <c r="AH25" i="8"/>
  <c r="Z25" i="8"/>
  <c r="Y25" i="8"/>
  <c r="R25" i="8"/>
  <c r="Q25" i="8"/>
  <c r="J25" i="8"/>
  <c r="I25" i="8"/>
  <c r="AI24" i="8"/>
  <c r="AH24" i="8"/>
  <c r="Z24" i="8"/>
  <c r="Y24" i="8"/>
  <c r="R24" i="8"/>
  <c r="Q24" i="8"/>
  <c r="J24" i="8"/>
  <c r="I24" i="8"/>
  <c r="AI23" i="8"/>
  <c r="AH23" i="8"/>
  <c r="Z23" i="8"/>
  <c r="Y23" i="8"/>
  <c r="R23" i="8"/>
  <c r="Q23" i="8"/>
  <c r="J23" i="8"/>
  <c r="I23" i="8"/>
  <c r="AN22" i="8"/>
  <c r="AI22" i="8"/>
  <c r="AH22" i="8"/>
  <c r="Z22" i="8"/>
  <c r="Y22" i="8"/>
  <c r="R22" i="8"/>
  <c r="Q22" i="8"/>
  <c r="J22" i="8"/>
  <c r="I22" i="8"/>
  <c r="AI21" i="8"/>
  <c r="AH21" i="8"/>
  <c r="Z21" i="8"/>
  <c r="Y21" i="8"/>
  <c r="R21" i="8"/>
  <c r="Q21" i="8"/>
  <c r="J21" i="8"/>
  <c r="I21" i="8"/>
  <c r="AL20" i="8"/>
  <c r="AI20" i="8"/>
  <c r="AH20" i="8"/>
  <c r="Z20" i="8"/>
  <c r="Y20" i="8"/>
  <c r="R20" i="8"/>
  <c r="Q20" i="8"/>
  <c r="J20" i="8"/>
  <c r="I20" i="8"/>
  <c r="AM19" i="8"/>
  <c r="AL19" i="8"/>
  <c r="AI19" i="8"/>
  <c r="AH19" i="8"/>
  <c r="Z19" i="8"/>
  <c r="Y19" i="8"/>
  <c r="R19" i="8"/>
  <c r="Q19" i="8"/>
  <c r="J19" i="8"/>
  <c r="I19" i="8"/>
  <c r="AI18" i="8"/>
  <c r="AH18" i="8"/>
  <c r="Z18" i="8"/>
  <c r="Y18" i="8"/>
  <c r="R18" i="8"/>
  <c r="Q18" i="8"/>
  <c r="J18" i="8"/>
  <c r="I18" i="8"/>
  <c r="AI17" i="8"/>
  <c r="AH17" i="8"/>
  <c r="Z17" i="8"/>
  <c r="Y17" i="8"/>
  <c r="R17" i="8"/>
  <c r="Q17" i="8"/>
  <c r="J17" i="8"/>
  <c r="I17" i="8"/>
  <c r="AI16" i="8"/>
  <c r="AH16" i="8"/>
  <c r="Z16" i="8"/>
  <c r="Y16" i="8"/>
  <c r="R16" i="8"/>
  <c r="Q16" i="8"/>
  <c r="J16" i="8"/>
  <c r="I16" i="8"/>
  <c r="AI15" i="8"/>
  <c r="AH15" i="8"/>
  <c r="Z15" i="8"/>
  <c r="Y15" i="8"/>
  <c r="R15" i="8"/>
  <c r="Q15" i="8"/>
  <c r="J15" i="8"/>
  <c r="I15" i="8"/>
  <c r="AI14" i="8"/>
  <c r="AH14" i="8"/>
  <c r="Z14" i="8"/>
  <c r="Y14" i="8"/>
  <c r="R14" i="8"/>
  <c r="Q14" i="8"/>
  <c r="J14" i="8"/>
  <c r="I14" i="8"/>
  <c r="AQ13" i="8"/>
  <c r="AI13" i="8"/>
  <c r="AH13" i="8"/>
  <c r="Z13" i="8"/>
  <c r="Y13" i="8"/>
  <c r="R13" i="8"/>
  <c r="Q13" i="8"/>
  <c r="J13" i="8"/>
  <c r="I13" i="8"/>
  <c r="AQ12" i="8"/>
  <c r="AI12" i="8"/>
  <c r="AH12" i="8"/>
  <c r="Z12" i="8"/>
  <c r="Y12" i="8"/>
  <c r="R12" i="8"/>
  <c r="Q12" i="8"/>
  <c r="J12" i="8"/>
  <c r="I12" i="8"/>
  <c r="AQ11" i="8"/>
  <c r="AI11" i="8"/>
  <c r="AH11" i="8"/>
  <c r="Z11" i="8"/>
  <c r="Y11" i="8"/>
  <c r="R11" i="8"/>
  <c r="Q11" i="8"/>
  <c r="J11" i="8"/>
  <c r="I11" i="8"/>
  <c r="AQ10" i="8"/>
  <c r="AI10" i="8"/>
  <c r="AH10" i="8"/>
  <c r="Z10" i="8"/>
  <c r="Y10" i="8"/>
  <c r="R10" i="8"/>
  <c r="Q10" i="8"/>
  <c r="J10" i="8"/>
  <c r="I10" i="8"/>
  <c r="AQ9" i="8"/>
  <c r="AI9" i="8"/>
  <c r="AH9" i="8"/>
  <c r="Z9" i="8"/>
  <c r="Y9" i="8"/>
  <c r="R9" i="8"/>
  <c r="Q9" i="8"/>
  <c r="J9" i="8"/>
  <c r="I9" i="8"/>
  <c r="AQ8" i="8"/>
  <c r="AI8" i="8"/>
  <c r="AH8" i="8"/>
  <c r="Z8" i="8"/>
  <c r="Y8" i="8"/>
  <c r="R8" i="8"/>
  <c r="Q8" i="8"/>
  <c r="J8" i="8"/>
  <c r="I8" i="8"/>
  <c r="AQ7" i="8"/>
  <c r="AI7" i="8"/>
  <c r="AH7" i="8"/>
  <c r="Z7" i="8"/>
  <c r="Y7" i="8"/>
  <c r="R7" i="8"/>
  <c r="Q7" i="8"/>
  <c r="J7" i="8"/>
  <c r="I7" i="8"/>
  <c r="AQ6" i="8"/>
  <c r="AI6" i="8"/>
  <c r="AH6" i="8"/>
  <c r="Z6" i="8"/>
  <c r="Y6" i="8"/>
  <c r="R6" i="8"/>
  <c r="Q6" i="8"/>
  <c r="J6" i="8"/>
  <c r="I6" i="8"/>
  <c r="AQ5" i="8"/>
  <c r="AI5" i="8"/>
  <c r="AH5" i="8"/>
  <c r="Z5" i="8"/>
  <c r="Y5" i="8"/>
  <c r="R5" i="8"/>
  <c r="Q5" i="8"/>
  <c r="J5" i="8"/>
  <c r="I5" i="8"/>
  <c r="AQ4" i="8"/>
  <c r="AI4" i="8"/>
  <c r="AH4" i="8"/>
  <c r="Z4" i="8"/>
  <c r="Y4" i="8"/>
  <c r="R4" i="8"/>
  <c r="Q4" i="8"/>
  <c r="J4" i="8"/>
  <c r="I4" i="8"/>
  <c r="AO66" i="7"/>
  <c r="AL64" i="7"/>
  <c r="AK64" i="7"/>
  <c r="AD64" i="7"/>
  <c r="AC64" i="7"/>
  <c r="V64" i="7"/>
  <c r="U64" i="7"/>
  <c r="N64" i="7"/>
  <c r="M64" i="7"/>
  <c r="F64" i="7"/>
  <c r="E64" i="7"/>
  <c r="AO62" i="7"/>
  <c r="AL62" i="7"/>
  <c r="AK62" i="7"/>
  <c r="AD62" i="7"/>
  <c r="AC62" i="7"/>
  <c r="V62" i="7"/>
  <c r="U62" i="7"/>
  <c r="N62" i="7"/>
  <c r="M62" i="7"/>
  <c r="F62" i="7"/>
  <c r="E62" i="7"/>
  <c r="AP61" i="7"/>
  <c r="AO61" i="7"/>
  <c r="AL61" i="7"/>
  <c r="AK61" i="7"/>
  <c r="AD61" i="7"/>
  <c r="AC61" i="7"/>
  <c r="V61" i="7"/>
  <c r="U61" i="7"/>
  <c r="N61" i="7"/>
  <c r="M61" i="7"/>
  <c r="F61" i="7"/>
  <c r="E61" i="7"/>
  <c r="AL60" i="7"/>
  <c r="AK60" i="7"/>
  <c r="AD60" i="7"/>
  <c r="AC60" i="7"/>
  <c r="V60" i="7"/>
  <c r="U60" i="7"/>
  <c r="N60" i="7"/>
  <c r="M60" i="7"/>
  <c r="F60" i="7"/>
  <c r="E60" i="7"/>
  <c r="AO59" i="7"/>
  <c r="AL59" i="7"/>
  <c r="AK59" i="7"/>
  <c r="AD59" i="7"/>
  <c r="AC59" i="7"/>
  <c r="V59" i="7"/>
  <c r="U59" i="7"/>
  <c r="N59" i="7"/>
  <c r="M59" i="7"/>
  <c r="F59" i="7"/>
  <c r="E59" i="7"/>
  <c r="AS58" i="7"/>
  <c r="AP58" i="7"/>
  <c r="AO58" i="7"/>
  <c r="AL58" i="7"/>
  <c r="AK58" i="7"/>
  <c r="AD58" i="7"/>
  <c r="AC58" i="7"/>
  <c r="V58" i="7"/>
  <c r="U58" i="7"/>
  <c r="N58" i="7"/>
  <c r="M58" i="7"/>
  <c r="F58" i="7"/>
  <c r="E58" i="7"/>
  <c r="AL57" i="7"/>
  <c r="AK57" i="7"/>
  <c r="AD57" i="7"/>
  <c r="AC57" i="7"/>
  <c r="V57" i="7"/>
  <c r="U57" i="7"/>
  <c r="N57" i="7"/>
  <c r="M57" i="7"/>
  <c r="F57" i="7"/>
  <c r="E57" i="7"/>
  <c r="AL56" i="7"/>
  <c r="AK56" i="7"/>
  <c r="AD56" i="7"/>
  <c r="AC56" i="7"/>
  <c r="V56" i="7"/>
  <c r="U56" i="7"/>
  <c r="N56" i="7"/>
  <c r="M56" i="7"/>
  <c r="F56" i="7"/>
  <c r="E56" i="7"/>
  <c r="W53" i="7"/>
  <c r="V53" i="7"/>
  <c r="AO52" i="7"/>
  <c r="AL52" i="7"/>
  <c r="AK52" i="7"/>
  <c r="AD52" i="7"/>
  <c r="AC52" i="7"/>
  <c r="V52" i="7"/>
  <c r="U52" i="7"/>
  <c r="N52" i="7"/>
  <c r="M52" i="7"/>
  <c r="F52" i="7"/>
  <c r="E52" i="7"/>
  <c r="AP51" i="7"/>
  <c r="AO51" i="7"/>
  <c r="AL51" i="7"/>
  <c r="AK51" i="7"/>
  <c r="AD51" i="7"/>
  <c r="AC51" i="7"/>
  <c r="V51" i="7"/>
  <c r="U51" i="7"/>
  <c r="N51" i="7"/>
  <c r="M51" i="7"/>
  <c r="F51" i="7"/>
  <c r="E51" i="7"/>
  <c r="AL50" i="7"/>
  <c r="AK50" i="7"/>
  <c r="AJ50" i="7"/>
  <c r="AE50" i="7"/>
  <c r="AD50" i="7"/>
  <c r="AC50" i="7"/>
  <c r="V50" i="7"/>
  <c r="U50" i="7"/>
  <c r="N50" i="7"/>
  <c r="M50" i="7"/>
  <c r="F50" i="7"/>
  <c r="E50" i="7"/>
  <c r="AO49" i="7"/>
  <c r="AP48" i="7"/>
  <c r="AO48" i="7"/>
  <c r="AL48" i="7"/>
  <c r="AK48" i="7"/>
  <c r="AD48" i="7"/>
  <c r="AC48" i="7"/>
  <c r="V48" i="7"/>
  <c r="U48" i="7"/>
  <c r="N48" i="7"/>
  <c r="M48" i="7"/>
  <c r="F48" i="7"/>
  <c r="E48" i="7"/>
  <c r="AL47" i="7"/>
  <c r="AK47" i="7"/>
  <c r="AD47" i="7"/>
  <c r="AC47" i="7"/>
  <c r="V47" i="7"/>
  <c r="U47" i="7"/>
  <c r="N47" i="7"/>
  <c r="M47" i="7"/>
  <c r="F47" i="7"/>
  <c r="E47" i="7"/>
  <c r="AL46" i="7"/>
  <c r="AK46" i="7"/>
  <c r="AD46" i="7"/>
  <c r="AC46" i="7"/>
  <c r="V46" i="7"/>
  <c r="U46" i="7"/>
  <c r="N46" i="7"/>
  <c r="M46" i="7"/>
  <c r="F46" i="7"/>
  <c r="E46" i="7"/>
  <c r="AL45" i="7"/>
  <c r="AK45" i="7"/>
  <c r="AD45" i="7"/>
  <c r="AC45" i="7"/>
  <c r="V45" i="7"/>
  <c r="U45" i="7"/>
  <c r="N45" i="7"/>
  <c r="M45" i="7"/>
  <c r="F45" i="7"/>
  <c r="E45" i="7"/>
  <c r="AL44" i="7"/>
  <c r="AK44" i="7"/>
  <c r="AD44" i="7"/>
  <c r="AC44" i="7"/>
  <c r="V44" i="7"/>
  <c r="U44" i="7"/>
  <c r="N44" i="7"/>
  <c r="M44" i="7"/>
  <c r="F44" i="7"/>
  <c r="E44" i="7"/>
  <c r="AL43" i="7"/>
  <c r="AK43" i="7"/>
  <c r="AD43" i="7"/>
  <c r="AC43" i="7"/>
  <c r="V43" i="7"/>
  <c r="U43" i="7"/>
  <c r="N43" i="7"/>
  <c r="M43" i="7"/>
  <c r="F43" i="7"/>
  <c r="E43" i="7"/>
  <c r="AL42" i="7"/>
  <c r="AK42" i="7"/>
  <c r="AD42" i="7"/>
  <c r="AC42" i="7"/>
  <c r="V42" i="7"/>
  <c r="U42" i="7"/>
  <c r="N42" i="7"/>
  <c r="M42" i="7"/>
  <c r="F42" i="7"/>
  <c r="E42" i="7"/>
  <c r="AL41" i="7"/>
  <c r="AK41" i="7"/>
  <c r="AD41" i="7"/>
  <c r="AC41" i="7"/>
  <c r="V41" i="7"/>
  <c r="U41" i="7"/>
  <c r="N41" i="7"/>
  <c r="M41" i="7"/>
  <c r="F41" i="7"/>
  <c r="E41" i="7"/>
  <c r="AL40" i="7"/>
  <c r="AK40" i="7"/>
  <c r="AD40" i="7"/>
  <c r="AC40" i="7"/>
  <c r="V40" i="7"/>
  <c r="U40" i="7"/>
  <c r="N40" i="7"/>
  <c r="M40" i="7"/>
  <c r="F40" i="7"/>
  <c r="E40" i="7"/>
  <c r="AL39" i="7"/>
  <c r="AK39" i="7"/>
  <c r="AD39" i="7"/>
  <c r="AC39" i="7"/>
  <c r="V39" i="7"/>
  <c r="U39" i="7"/>
  <c r="N39" i="7"/>
  <c r="M39" i="7"/>
  <c r="F39" i="7"/>
  <c r="E39" i="7"/>
  <c r="AL38" i="7"/>
  <c r="AK38" i="7"/>
  <c r="AD38" i="7"/>
  <c r="AC38" i="7"/>
  <c r="V38" i="7"/>
  <c r="U38" i="7"/>
  <c r="N38" i="7"/>
  <c r="M38" i="7"/>
  <c r="F38" i="7"/>
  <c r="E38" i="7"/>
  <c r="AL37" i="7"/>
  <c r="AK37" i="7"/>
  <c r="AD37" i="7"/>
  <c r="AC37" i="7"/>
  <c r="V37" i="7"/>
  <c r="U37" i="7"/>
  <c r="N37" i="7"/>
  <c r="M37" i="7"/>
  <c r="F37" i="7"/>
  <c r="E37" i="7"/>
  <c r="AL36" i="7"/>
  <c r="AK36" i="7"/>
  <c r="AD36" i="7"/>
  <c r="AC36" i="7"/>
  <c r="V36" i="7"/>
  <c r="U36" i="7"/>
  <c r="N36" i="7"/>
  <c r="M36" i="7"/>
  <c r="F36" i="7"/>
  <c r="E36" i="7"/>
  <c r="AL35" i="7"/>
  <c r="AK35" i="7"/>
  <c r="AD35" i="7"/>
  <c r="AC35" i="7"/>
  <c r="V35" i="7"/>
  <c r="U35" i="7"/>
  <c r="N35" i="7"/>
  <c r="M35" i="7"/>
  <c r="F35" i="7"/>
  <c r="E35" i="7"/>
  <c r="AL34" i="7"/>
  <c r="AK34" i="7"/>
  <c r="AD34" i="7"/>
  <c r="AC34" i="7"/>
  <c r="V34" i="7"/>
  <c r="U34" i="7"/>
  <c r="N34" i="7"/>
  <c r="M34" i="7"/>
  <c r="F34" i="7"/>
  <c r="E34" i="7"/>
  <c r="AL33" i="7"/>
  <c r="AK33" i="7"/>
  <c r="AD33" i="7"/>
  <c r="AC33" i="7"/>
  <c r="V33" i="7"/>
  <c r="U33" i="7"/>
  <c r="N33" i="7"/>
  <c r="M33" i="7"/>
  <c r="F33" i="7"/>
  <c r="E33" i="7"/>
  <c r="AL32" i="7"/>
  <c r="AK32" i="7"/>
  <c r="AD32" i="7"/>
  <c r="AC32" i="7"/>
  <c r="V32" i="7"/>
  <c r="U32" i="7"/>
  <c r="N32" i="7"/>
  <c r="M32" i="7"/>
  <c r="F32" i="7"/>
  <c r="E32" i="7"/>
  <c r="AL31" i="7"/>
  <c r="AK31" i="7"/>
  <c r="AD31" i="7"/>
  <c r="AC31" i="7"/>
  <c r="V31" i="7"/>
  <c r="U31" i="7"/>
  <c r="N31" i="7"/>
  <c r="M31" i="7"/>
  <c r="F31" i="7"/>
  <c r="E31" i="7"/>
  <c r="AL30" i="7"/>
  <c r="AK30" i="7"/>
  <c r="AD30" i="7"/>
  <c r="AC30" i="7"/>
  <c r="V30" i="7"/>
  <c r="U30" i="7"/>
  <c r="N30" i="7"/>
  <c r="M30" i="7"/>
  <c r="F30" i="7"/>
  <c r="E30" i="7"/>
  <c r="AL29" i="7"/>
  <c r="AK29" i="7"/>
  <c r="AD29" i="7"/>
  <c r="AC29" i="7"/>
  <c r="V29" i="7"/>
  <c r="U29" i="7"/>
  <c r="N29" i="7"/>
  <c r="M29" i="7"/>
  <c r="F29" i="7"/>
  <c r="E29" i="7"/>
  <c r="AO28" i="7"/>
  <c r="AL28" i="7"/>
  <c r="AK28" i="7"/>
  <c r="AD28" i="7"/>
  <c r="AC28" i="7"/>
  <c r="V28" i="7"/>
  <c r="U28" i="7"/>
  <c r="N28" i="7"/>
  <c r="M28" i="7"/>
  <c r="F28" i="7"/>
  <c r="E28" i="7"/>
  <c r="AO27" i="7"/>
  <c r="AL27" i="7"/>
  <c r="AK27" i="7"/>
  <c r="AD27" i="7"/>
  <c r="AC27" i="7"/>
  <c r="V27" i="7"/>
  <c r="U27" i="7"/>
  <c r="N27" i="7"/>
  <c r="M27" i="7"/>
  <c r="F27" i="7"/>
  <c r="E27" i="7"/>
  <c r="AO26" i="7"/>
  <c r="AL26" i="7"/>
  <c r="AK26" i="7"/>
  <c r="AD26" i="7"/>
  <c r="AC26" i="7"/>
  <c r="V26" i="7"/>
  <c r="U26" i="7"/>
  <c r="N26" i="7"/>
  <c r="M26" i="7"/>
  <c r="F26" i="7"/>
  <c r="E26" i="7"/>
  <c r="AO25" i="7"/>
  <c r="AL25" i="7"/>
  <c r="AK25" i="7"/>
  <c r="AD25" i="7"/>
  <c r="AC25" i="7"/>
  <c r="V25" i="7"/>
  <c r="U25" i="7"/>
  <c r="N25" i="7"/>
  <c r="M25" i="7"/>
  <c r="F25" i="7"/>
  <c r="E25" i="7"/>
  <c r="AL24" i="7"/>
  <c r="AK24" i="7"/>
  <c r="AD24" i="7"/>
  <c r="AC24" i="7"/>
  <c r="V24" i="7"/>
  <c r="U24" i="7"/>
  <c r="N24" i="7"/>
  <c r="M24" i="7"/>
  <c r="F24" i="7"/>
  <c r="E24" i="7"/>
  <c r="AL23" i="7"/>
  <c r="AK23" i="7"/>
  <c r="AD23" i="7"/>
  <c r="AC23" i="7"/>
  <c r="V23" i="7"/>
  <c r="U23" i="7"/>
  <c r="N23" i="7"/>
  <c r="M23" i="7"/>
  <c r="F23" i="7"/>
  <c r="E23" i="7"/>
  <c r="AL22" i="7"/>
  <c r="AK22" i="7"/>
  <c r="AD22" i="7"/>
  <c r="AC22" i="7"/>
  <c r="V22" i="7"/>
  <c r="U22" i="7"/>
  <c r="N22" i="7"/>
  <c r="M22" i="7"/>
  <c r="F22" i="7"/>
  <c r="E22" i="7"/>
  <c r="AL21" i="7"/>
  <c r="AK21" i="7"/>
  <c r="AD21" i="7"/>
  <c r="AC21" i="7"/>
  <c r="V21" i="7"/>
  <c r="U21" i="7"/>
  <c r="N21" i="7"/>
  <c r="M21" i="7"/>
  <c r="F21" i="7"/>
  <c r="E21" i="7"/>
  <c r="AO20" i="7"/>
  <c r="AL20" i="7"/>
  <c r="AK20" i="7"/>
  <c r="AD20" i="7"/>
  <c r="AC20" i="7"/>
  <c r="V20" i="7"/>
  <c r="U20" i="7"/>
  <c r="N20" i="7"/>
  <c r="M20" i="7"/>
  <c r="F20" i="7"/>
  <c r="E20" i="7"/>
  <c r="AP19" i="7"/>
  <c r="AO19" i="7"/>
  <c r="AL19" i="7"/>
  <c r="AK19" i="7"/>
  <c r="AD19" i="7"/>
  <c r="AC19" i="7"/>
  <c r="V19" i="7"/>
  <c r="U19" i="7"/>
  <c r="N19" i="7"/>
  <c r="M19" i="7"/>
  <c r="F19" i="7"/>
  <c r="E19" i="7"/>
  <c r="AL18" i="7"/>
  <c r="AK18" i="7"/>
  <c r="AD18" i="7"/>
  <c r="AC18" i="7"/>
  <c r="V18" i="7"/>
  <c r="U18" i="7"/>
  <c r="N18" i="7"/>
  <c r="M18" i="7"/>
  <c r="F18" i="7"/>
  <c r="E18" i="7"/>
  <c r="AL17" i="7"/>
  <c r="AK17" i="7"/>
  <c r="AD17" i="7"/>
  <c r="AC17" i="7"/>
  <c r="V17" i="7"/>
  <c r="U17" i="7"/>
  <c r="N17" i="7"/>
  <c r="M17" i="7"/>
  <c r="F17" i="7"/>
  <c r="E17" i="7"/>
  <c r="AL16" i="7"/>
  <c r="AK16" i="7"/>
  <c r="AD16" i="7"/>
  <c r="AC16" i="7"/>
  <c r="V16" i="7"/>
  <c r="U16" i="7"/>
  <c r="N16" i="7"/>
  <c r="M16" i="7"/>
  <c r="F16" i="7"/>
  <c r="E16" i="7"/>
  <c r="AL15" i="7"/>
  <c r="AK15" i="7"/>
  <c r="AD15" i="7"/>
  <c r="AC15" i="7"/>
  <c r="V15" i="7"/>
  <c r="U15" i="7"/>
  <c r="N15" i="7"/>
  <c r="M15" i="7"/>
  <c r="F15" i="7"/>
  <c r="E15" i="7"/>
  <c r="AL14" i="7"/>
  <c r="AK14" i="7"/>
  <c r="AD14" i="7"/>
  <c r="AC14" i="7"/>
  <c r="V14" i="7"/>
  <c r="U14" i="7"/>
  <c r="N14" i="7"/>
  <c r="M14" i="7"/>
  <c r="F14" i="7"/>
  <c r="E14" i="7"/>
  <c r="AT13" i="7"/>
  <c r="AL13" i="7"/>
  <c r="AK13" i="7"/>
  <c r="AD13" i="7"/>
  <c r="AC13" i="7"/>
  <c r="V13" i="7"/>
  <c r="U13" i="7"/>
  <c r="N13" i="7"/>
  <c r="M13" i="7"/>
  <c r="F13" i="7"/>
  <c r="E13" i="7"/>
  <c r="AT12" i="7"/>
  <c r="AL12" i="7"/>
  <c r="AK12" i="7"/>
  <c r="AD12" i="7"/>
  <c r="AC12" i="7"/>
  <c r="V12" i="7"/>
  <c r="U12" i="7"/>
  <c r="N12" i="7"/>
  <c r="M12" i="7"/>
  <c r="F12" i="7"/>
  <c r="E12" i="7"/>
  <c r="AT11" i="7"/>
  <c r="AL11" i="7"/>
  <c r="AK11" i="7"/>
  <c r="AD11" i="7"/>
  <c r="AC11" i="7"/>
  <c r="V11" i="7"/>
  <c r="U11" i="7"/>
  <c r="N11" i="7"/>
  <c r="M11" i="7"/>
  <c r="F11" i="7"/>
  <c r="E11" i="7"/>
  <c r="AT10" i="7"/>
  <c r="AL10" i="7"/>
  <c r="AK10" i="7"/>
  <c r="AD10" i="7"/>
  <c r="AC10" i="7"/>
  <c r="V10" i="7"/>
  <c r="U10" i="7"/>
  <c r="N10" i="7"/>
  <c r="M10" i="7"/>
  <c r="F10" i="7"/>
  <c r="E10" i="7"/>
  <c r="AT9" i="7"/>
  <c r="AL9" i="7"/>
  <c r="AK9" i="7"/>
  <c r="AD9" i="7"/>
  <c r="AC9" i="7"/>
  <c r="V9" i="7"/>
  <c r="U9" i="7"/>
  <c r="N9" i="7"/>
  <c r="M9" i="7"/>
  <c r="F9" i="7"/>
  <c r="E9" i="7"/>
  <c r="AT8" i="7"/>
  <c r="AL8" i="7"/>
  <c r="AK8" i="7"/>
  <c r="AD8" i="7"/>
  <c r="AC8" i="7"/>
  <c r="V8" i="7"/>
  <c r="U8" i="7"/>
  <c r="N8" i="7"/>
  <c r="M8" i="7"/>
  <c r="F8" i="7"/>
  <c r="E8" i="7"/>
  <c r="AT7" i="7"/>
  <c r="AL7" i="7"/>
  <c r="AK7" i="7"/>
  <c r="AD7" i="7"/>
  <c r="AC7" i="7"/>
  <c r="V7" i="7"/>
  <c r="U7" i="7"/>
  <c r="N7" i="7"/>
  <c r="M7" i="7"/>
  <c r="F7" i="7"/>
  <c r="E7" i="7"/>
  <c r="AT6" i="7"/>
  <c r="AL6" i="7"/>
  <c r="AK6" i="7"/>
  <c r="AD6" i="7"/>
  <c r="AC6" i="7"/>
  <c r="V6" i="7"/>
  <c r="U6" i="7"/>
  <c r="N6" i="7"/>
  <c r="M6" i="7"/>
  <c r="F6" i="7"/>
  <c r="E6" i="7"/>
  <c r="AT5" i="7"/>
  <c r="AL5" i="7"/>
  <c r="AK5" i="7"/>
  <c r="AD5" i="7"/>
  <c r="AC5" i="7"/>
  <c r="V5" i="7"/>
  <c r="U5" i="7"/>
  <c r="N5" i="7"/>
  <c r="M5" i="7"/>
  <c r="F5" i="7"/>
  <c r="E5" i="7"/>
  <c r="AT4" i="7"/>
  <c r="AL4" i="7"/>
  <c r="AK4" i="7"/>
  <c r="AD4" i="7"/>
  <c r="AC4" i="7"/>
  <c r="V4" i="7"/>
  <c r="U4" i="7"/>
  <c r="N4" i="7"/>
  <c r="M4" i="7"/>
  <c r="F4" i="7"/>
  <c r="E4" i="7"/>
  <c r="AO66" i="6"/>
  <c r="AL64" i="6"/>
  <c r="AK64" i="6"/>
  <c r="AG64" i="6"/>
  <c r="AF64" i="6"/>
  <c r="Y64" i="6"/>
  <c r="X64" i="6"/>
  <c r="Q64" i="6"/>
  <c r="P64" i="6"/>
  <c r="I64" i="6"/>
  <c r="H64" i="6"/>
  <c r="AO62" i="6"/>
  <c r="AL62" i="6"/>
  <c r="AK62" i="6"/>
  <c r="AG62" i="6"/>
  <c r="AF62" i="6"/>
  <c r="Y62" i="6"/>
  <c r="X62" i="6"/>
  <c r="Q62" i="6"/>
  <c r="P62" i="6"/>
  <c r="I62" i="6"/>
  <c r="H62" i="6"/>
  <c r="AP61" i="6"/>
  <c r="AO61" i="6"/>
  <c r="AL61" i="6"/>
  <c r="AK61" i="6"/>
  <c r="AG61" i="6"/>
  <c r="AF61" i="6"/>
  <c r="Y61" i="6"/>
  <c r="X61" i="6"/>
  <c r="Q61" i="6"/>
  <c r="P61" i="6"/>
  <c r="I61" i="6"/>
  <c r="H61" i="6"/>
  <c r="AL60" i="6"/>
  <c r="AK60" i="6"/>
  <c r="AG60" i="6"/>
  <c r="AF60" i="6"/>
  <c r="Y60" i="6"/>
  <c r="X60" i="6"/>
  <c r="Q60" i="6"/>
  <c r="P60" i="6"/>
  <c r="I60" i="6"/>
  <c r="H60" i="6"/>
  <c r="AO59" i="6"/>
  <c r="AL59" i="6"/>
  <c r="AK59" i="6"/>
  <c r="AG59" i="6"/>
  <c r="AF59" i="6"/>
  <c r="Y59" i="6"/>
  <c r="X59" i="6"/>
  <c r="Q59" i="6"/>
  <c r="P59" i="6"/>
  <c r="I59" i="6"/>
  <c r="H59" i="6"/>
  <c r="AP58" i="6"/>
  <c r="AO58" i="6"/>
  <c r="AL58" i="6"/>
  <c r="AK58" i="6"/>
  <c r="AG58" i="6"/>
  <c r="AF58" i="6"/>
  <c r="Y58" i="6"/>
  <c r="X58" i="6"/>
  <c r="Q58" i="6"/>
  <c r="P58" i="6"/>
  <c r="I58" i="6"/>
  <c r="H58" i="6"/>
  <c r="AL57" i="6"/>
  <c r="AK57" i="6"/>
  <c r="AG57" i="6"/>
  <c r="AF57" i="6"/>
  <c r="Y57" i="6"/>
  <c r="X57" i="6"/>
  <c r="Q57" i="6"/>
  <c r="P57" i="6"/>
  <c r="I57" i="6"/>
  <c r="H57" i="6"/>
  <c r="AL56" i="6"/>
  <c r="AK56" i="6"/>
  <c r="AG56" i="6"/>
  <c r="AF56" i="6"/>
  <c r="Y56" i="6"/>
  <c r="X56" i="6"/>
  <c r="Q56" i="6"/>
  <c r="P56" i="6"/>
  <c r="I56" i="6"/>
  <c r="H56" i="6"/>
  <c r="AO52" i="6"/>
  <c r="AL52" i="6"/>
  <c r="AK52" i="6"/>
  <c r="AG52" i="6"/>
  <c r="AF52" i="6"/>
  <c r="Y52" i="6"/>
  <c r="X52" i="6"/>
  <c r="Q52" i="6"/>
  <c r="P52" i="6"/>
  <c r="I52" i="6"/>
  <c r="H52" i="6"/>
  <c r="AP51" i="6"/>
  <c r="AO51" i="6"/>
  <c r="AL51" i="6"/>
  <c r="AK51" i="6"/>
  <c r="AG51" i="6"/>
  <c r="AF51" i="6"/>
  <c r="Y51" i="6"/>
  <c r="X51" i="6"/>
  <c r="Q51" i="6"/>
  <c r="P51" i="6"/>
  <c r="I51" i="6"/>
  <c r="H51" i="6"/>
  <c r="AL50" i="6"/>
  <c r="AK50" i="6"/>
  <c r="AJ50" i="6"/>
  <c r="AH50" i="6"/>
  <c r="AG50" i="6"/>
  <c r="AF50" i="6"/>
  <c r="Z50" i="6"/>
  <c r="Y50" i="6"/>
  <c r="X50" i="6"/>
  <c r="R50" i="6"/>
  <c r="Q50" i="6"/>
  <c r="P50" i="6"/>
  <c r="J50" i="6"/>
  <c r="I50" i="6"/>
  <c r="H50" i="6"/>
  <c r="AO49" i="6"/>
  <c r="AP48" i="6"/>
  <c r="AO48" i="6"/>
  <c r="AL48" i="6"/>
  <c r="AK48" i="6"/>
  <c r="AG48" i="6"/>
  <c r="AF48" i="6"/>
  <c r="Y48" i="6"/>
  <c r="X48" i="6"/>
  <c r="Q48" i="6"/>
  <c r="P48" i="6"/>
  <c r="I48" i="6"/>
  <c r="H48" i="6"/>
  <c r="AL47" i="6"/>
  <c r="AK47" i="6"/>
  <c r="AG47" i="6"/>
  <c r="AF47" i="6"/>
  <c r="Y47" i="6"/>
  <c r="X47" i="6"/>
  <c r="Q47" i="6"/>
  <c r="P47" i="6"/>
  <c r="I47" i="6"/>
  <c r="H47" i="6"/>
  <c r="AL46" i="6"/>
  <c r="AK46" i="6"/>
  <c r="AG46" i="6"/>
  <c r="AF46" i="6"/>
  <c r="Y46" i="6"/>
  <c r="X46" i="6"/>
  <c r="Q46" i="6"/>
  <c r="P46" i="6"/>
  <c r="I46" i="6"/>
  <c r="H46" i="6"/>
  <c r="AL45" i="6"/>
  <c r="AK45" i="6"/>
  <c r="AG45" i="6"/>
  <c r="AF45" i="6"/>
  <c r="Y45" i="6"/>
  <c r="X45" i="6"/>
  <c r="Q45" i="6"/>
  <c r="P45" i="6"/>
  <c r="I45" i="6"/>
  <c r="H45" i="6"/>
  <c r="AL44" i="6"/>
  <c r="AK44" i="6"/>
  <c r="AG44" i="6"/>
  <c r="AF44" i="6"/>
  <c r="Y44" i="6"/>
  <c r="X44" i="6"/>
  <c r="Q44" i="6"/>
  <c r="P44" i="6"/>
  <c r="I44" i="6"/>
  <c r="H44" i="6"/>
  <c r="AL43" i="6"/>
  <c r="AK43" i="6"/>
  <c r="AG43" i="6"/>
  <c r="AF43" i="6"/>
  <c r="Y43" i="6"/>
  <c r="X43" i="6"/>
  <c r="Q43" i="6"/>
  <c r="P43" i="6"/>
  <c r="I43" i="6"/>
  <c r="H43" i="6"/>
  <c r="AL42" i="6"/>
  <c r="AK42" i="6"/>
  <c r="AG42" i="6"/>
  <c r="AF42" i="6"/>
  <c r="Y42" i="6"/>
  <c r="X42" i="6"/>
  <c r="Q42" i="6"/>
  <c r="P42" i="6"/>
  <c r="I42" i="6"/>
  <c r="H42" i="6"/>
  <c r="AL41" i="6"/>
  <c r="AK41" i="6"/>
  <c r="AG41" i="6"/>
  <c r="AF41" i="6"/>
  <c r="Y41" i="6"/>
  <c r="X41" i="6"/>
  <c r="Q41" i="6"/>
  <c r="P41" i="6"/>
  <c r="I41" i="6"/>
  <c r="H41" i="6"/>
  <c r="AL40" i="6"/>
  <c r="AK40" i="6"/>
  <c r="AG40" i="6"/>
  <c r="AF40" i="6"/>
  <c r="Y40" i="6"/>
  <c r="X40" i="6"/>
  <c r="Q40" i="6"/>
  <c r="P40" i="6"/>
  <c r="I40" i="6"/>
  <c r="H40" i="6"/>
  <c r="AL39" i="6"/>
  <c r="AK39" i="6"/>
  <c r="AG39" i="6"/>
  <c r="AF39" i="6"/>
  <c r="Y39" i="6"/>
  <c r="X39" i="6"/>
  <c r="Q39" i="6"/>
  <c r="P39" i="6"/>
  <c r="I39" i="6"/>
  <c r="H39" i="6"/>
  <c r="AL38" i="6"/>
  <c r="AK38" i="6"/>
  <c r="AG38" i="6"/>
  <c r="AF38" i="6"/>
  <c r="Y38" i="6"/>
  <c r="X38" i="6"/>
  <c r="Q38" i="6"/>
  <c r="P38" i="6"/>
  <c r="I38" i="6"/>
  <c r="H38" i="6"/>
  <c r="AL37" i="6"/>
  <c r="AK37" i="6"/>
  <c r="AG37" i="6"/>
  <c r="AF37" i="6"/>
  <c r="Y37" i="6"/>
  <c r="X37" i="6"/>
  <c r="Q37" i="6"/>
  <c r="P37" i="6"/>
  <c r="I37" i="6"/>
  <c r="H37" i="6"/>
  <c r="AL36" i="6"/>
  <c r="AK36" i="6"/>
  <c r="AG36" i="6"/>
  <c r="AF36" i="6"/>
  <c r="Y36" i="6"/>
  <c r="X36" i="6"/>
  <c r="Q36" i="6"/>
  <c r="P36" i="6"/>
  <c r="I36" i="6"/>
  <c r="H36" i="6"/>
  <c r="AL35" i="6"/>
  <c r="AK35" i="6"/>
  <c r="AG35" i="6"/>
  <c r="AF35" i="6"/>
  <c r="Y35" i="6"/>
  <c r="X35" i="6"/>
  <c r="Q35" i="6"/>
  <c r="P35" i="6"/>
  <c r="I35" i="6"/>
  <c r="H35" i="6"/>
  <c r="AL34" i="6"/>
  <c r="AK34" i="6"/>
  <c r="AG34" i="6"/>
  <c r="AF34" i="6"/>
  <c r="Y34" i="6"/>
  <c r="X34" i="6"/>
  <c r="Q34" i="6"/>
  <c r="P34" i="6"/>
  <c r="I34" i="6"/>
  <c r="H34" i="6"/>
  <c r="AL33" i="6"/>
  <c r="AK33" i="6"/>
  <c r="AG33" i="6"/>
  <c r="AF33" i="6"/>
  <c r="Y33" i="6"/>
  <c r="X33" i="6"/>
  <c r="Q33" i="6"/>
  <c r="P33" i="6"/>
  <c r="I33" i="6"/>
  <c r="H33" i="6"/>
  <c r="AL32" i="6"/>
  <c r="AK32" i="6"/>
  <c r="AG32" i="6"/>
  <c r="AF32" i="6"/>
  <c r="Y32" i="6"/>
  <c r="X32" i="6"/>
  <c r="Q32" i="6"/>
  <c r="P32" i="6"/>
  <c r="I32" i="6"/>
  <c r="H32" i="6"/>
  <c r="AL31" i="6"/>
  <c r="AK31" i="6"/>
  <c r="AG31" i="6"/>
  <c r="AF31" i="6"/>
  <c r="Y31" i="6"/>
  <c r="X31" i="6"/>
  <c r="Q31" i="6"/>
  <c r="P31" i="6"/>
  <c r="I31" i="6"/>
  <c r="H31" i="6"/>
  <c r="AL30" i="6"/>
  <c r="AK30" i="6"/>
  <c r="AG30" i="6"/>
  <c r="AF30" i="6"/>
  <c r="Y30" i="6"/>
  <c r="X30" i="6"/>
  <c r="Q30" i="6"/>
  <c r="P30" i="6"/>
  <c r="I30" i="6"/>
  <c r="H30" i="6"/>
  <c r="AL29" i="6"/>
  <c r="AK29" i="6"/>
  <c r="AG29" i="6"/>
  <c r="AF29" i="6"/>
  <c r="Y29" i="6"/>
  <c r="X29" i="6"/>
  <c r="Q29" i="6"/>
  <c r="P29" i="6"/>
  <c r="I29" i="6"/>
  <c r="H29" i="6"/>
  <c r="AO28" i="6"/>
  <c r="AL28" i="6"/>
  <c r="AK28" i="6"/>
  <c r="AG28" i="6"/>
  <c r="AF28" i="6"/>
  <c r="Y28" i="6"/>
  <c r="X28" i="6"/>
  <c r="Q28" i="6"/>
  <c r="P28" i="6"/>
  <c r="I28" i="6"/>
  <c r="H28" i="6"/>
  <c r="AO27" i="6"/>
  <c r="AL27" i="6"/>
  <c r="AK27" i="6"/>
  <c r="AG27" i="6"/>
  <c r="AF27" i="6"/>
  <c r="Y27" i="6"/>
  <c r="X27" i="6"/>
  <c r="Q27" i="6"/>
  <c r="P27" i="6"/>
  <c r="I27" i="6"/>
  <c r="H27" i="6"/>
  <c r="AO26" i="6"/>
  <c r="AL26" i="6"/>
  <c r="AK26" i="6"/>
  <c r="AG26" i="6"/>
  <c r="AF26" i="6"/>
  <c r="Y26" i="6"/>
  <c r="X26" i="6"/>
  <c r="Q26" i="6"/>
  <c r="P26" i="6"/>
  <c r="I26" i="6"/>
  <c r="H26" i="6"/>
  <c r="AO25" i="6"/>
  <c r="AL25" i="6"/>
  <c r="AK25" i="6"/>
  <c r="AG25" i="6"/>
  <c r="AF25" i="6"/>
  <c r="Y25" i="6"/>
  <c r="X25" i="6"/>
  <c r="Q25" i="6"/>
  <c r="P25" i="6"/>
  <c r="I25" i="6"/>
  <c r="H25" i="6"/>
  <c r="AL24" i="6"/>
  <c r="AK24" i="6"/>
  <c r="AG24" i="6"/>
  <c r="AF24" i="6"/>
  <c r="Y24" i="6"/>
  <c r="X24" i="6"/>
  <c r="Q24" i="6"/>
  <c r="P24" i="6"/>
  <c r="I24" i="6"/>
  <c r="H24" i="6"/>
  <c r="AL23" i="6"/>
  <c r="AK23" i="6"/>
  <c r="AG23" i="6"/>
  <c r="AF23" i="6"/>
  <c r="Y23" i="6"/>
  <c r="X23" i="6"/>
  <c r="Q23" i="6"/>
  <c r="P23" i="6"/>
  <c r="I23" i="6"/>
  <c r="H23" i="6"/>
  <c r="AL22" i="6"/>
  <c r="AK22" i="6"/>
  <c r="AG22" i="6"/>
  <c r="AF22" i="6"/>
  <c r="Y22" i="6"/>
  <c r="X22" i="6"/>
  <c r="Q22" i="6"/>
  <c r="P22" i="6"/>
  <c r="I22" i="6"/>
  <c r="H22" i="6"/>
  <c r="AL21" i="6"/>
  <c r="AK21" i="6"/>
  <c r="AG21" i="6"/>
  <c r="AF21" i="6"/>
  <c r="Y21" i="6"/>
  <c r="X21" i="6"/>
  <c r="Q21" i="6"/>
  <c r="P21" i="6"/>
  <c r="I21" i="6"/>
  <c r="H21" i="6"/>
  <c r="AO20" i="6"/>
  <c r="AL20" i="6"/>
  <c r="AK20" i="6"/>
  <c r="AG20" i="6"/>
  <c r="AF20" i="6"/>
  <c r="Y20" i="6"/>
  <c r="X20" i="6"/>
  <c r="Q20" i="6"/>
  <c r="P20" i="6"/>
  <c r="I20" i="6"/>
  <c r="H20" i="6"/>
  <c r="AP19" i="6"/>
  <c r="AO19" i="6"/>
  <c r="AL19" i="6"/>
  <c r="AK19" i="6"/>
  <c r="AG19" i="6"/>
  <c r="AF19" i="6"/>
  <c r="Y19" i="6"/>
  <c r="X19" i="6"/>
  <c r="Q19" i="6"/>
  <c r="P19" i="6"/>
  <c r="I19" i="6"/>
  <c r="H19" i="6"/>
  <c r="AL18" i="6"/>
  <c r="AK18" i="6"/>
  <c r="AG18" i="6"/>
  <c r="AF18" i="6"/>
  <c r="Y18" i="6"/>
  <c r="X18" i="6"/>
  <c r="Q18" i="6"/>
  <c r="P18" i="6"/>
  <c r="I18" i="6"/>
  <c r="H18" i="6"/>
  <c r="AL17" i="6"/>
  <c r="AK17" i="6"/>
  <c r="AG17" i="6"/>
  <c r="AF17" i="6"/>
  <c r="Y17" i="6"/>
  <c r="X17" i="6"/>
  <c r="Q17" i="6"/>
  <c r="P17" i="6"/>
  <c r="I17" i="6"/>
  <c r="H17" i="6"/>
  <c r="AL16" i="6"/>
  <c r="AK16" i="6"/>
  <c r="AG16" i="6"/>
  <c r="AF16" i="6"/>
  <c r="Y16" i="6"/>
  <c r="X16" i="6"/>
  <c r="Q16" i="6"/>
  <c r="P16" i="6"/>
  <c r="I16" i="6"/>
  <c r="H16" i="6"/>
  <c r="AL15" i="6"/>
  <c r="AK15" i="6"/>
  <c r="AG15" i="6"/>
  <c r="AF15" i="6"/>
  <c r="Y15" i="6"/>
  <c r="X15" i="6"/>
  <c r="Q15" i="6"/>
  <c r="P15" i="6"/>
  <c r="I15" i="6"/>
  <c r="H15" i="6"/>
  <c r="AL14" i="6"/>
  <c r="AK14" i="6"/>
  <c r="AG14" i="6"/>
  <c r="AF14" i="6"/>
  <c r="Y14" i="6"/>
  <c r="X14" i="6"/>
  <c r="Q14" i="6"/>
  <c r="P14" i="6"/>
  <c r="I14" i="6"/>
  <c r="H14" i="6"/>
  <c r="AT13" i="6"/>
  <c r="AL13" i="6"/>
  <c r="AK13" i="6"/>
  <c r="AG13" i="6"/>
  <c r="AF13" i="6"/>
  <c r="Y13" i="6"/>
  <c r="X13" i="6"/>
  <c r="Q13" i="6"/>
  <c r="P13" i="6"/>
  <c r="I13" i="6"/>
  <c r="H13" i="6"/>
  <c r="AT12" i="6"/>
  <c r="AL12" i="6"/>
  <c r="AK12" i="6"/>
  <c r="AG12" i="6"/>
  <c r="AF12" i="6"/>
  <c r="Y12" i="6"/>
  <c r="X12" i="6"/>
  <c r="Q12" i="6"/>
  <c r="P12" i="6"/>
  <c r="I12" i="6"/>
  <c r="H12" i="6"/>
  <c r="AT11" i="6"/>
  <c r="AL11" i="6"/>
  <c r="AK11" i="6"/>
  <c r="AG11" i="6"/>
  <c r="AF11" i="6"/>
  <c r="Y11" i="6"/>
  <c r="X11" i="6"/>
  <c r="Q11" i="6"/>
  <c r="P11" i="6"/>
  <c r="I11" i="6"/>
  <c r="H11" i="6"/>
  <c r="AT10" i="6"/>
  <c r="AL10" i="6"/>
  <c r="AK10" i="6"/>
  <c r="AG10" i="6"/>
  <c r="AF10" i="6"/>
  <c r="Y10" i="6"/>
  <c r="X10" i="6"/>
  <c r="Q10" i="6"/>
  <c r="P10" i="6"/>
  <c r="I10" i="6"/>
  <c r="H10" i="6"/>
  <c r="AT9" i="6"/>
  <c r="AL9" i="6"/>
  <c r="AK9" i="6"/>
  <c r="AG9" i="6"/>
  <c r="AF9" i="6"/>
  <c r="Y9" i="6"/>
  <c r="X9" i="6"/>
  <c r="Q9" i="6"/>
  <c r="P9" i="6"/>
  <c r="I9" i="6"/>
  <c r="H9" i="6"/>
  <c r="AT8" i="6"/>
  <c r="AL8" i="6"/>
  <c r="AK8" i="6"/>
  <c r="AG8" i="6"/>
  <c r="AF8" i="6"/>
  <c r="Y8" i="6"/>
  <c r="X8" i="6"/>
  <c r="Q8" i="6"/>
  <c r="P8" i="6"/>
  <c r="I8" i="6"/>
  <c r="H8" i="6"/>
  <c r="AT7" i="6"/>
  <c r="AL7" i="6"/>
  <c r="AK7" i="6"/>
  <c r="AG7" i="6"/>
  <c r="AF7" i="6"/>
  <c r="Y7" i="6"/>
  <c r="X7" i="6"/>
  <c r="Q7" i="6"/>
  <c r="P7" i="6"/>
  <c r="I7" i="6"/>
  <c r="H7" i="6"/>
  <c r="AT6" i="6"/>
  <c r="AL6" i="6"/>
  <c r="AK6" i="6"/>
  <c r="AG6" i="6"/>
  <c r="AF6" i="6"/>
  <c r="Y6" i="6"/>
  <c r="X6" i="6"/>
  <c r="Q6" i="6"/>
  <c r="P6" i="6"/>
  <c r="I6" i="6"/>
  <c r="H6" i="6"/>
  <c r="AT5" i="6"/>
  <c r="AL5" i="6"/>
  <c r="AK5" i="6"/>
  <c r="AG5" i="6"/>
  <c r="AF5" i="6"/>
  <c r="Y5" i="6"/>
  <c r="X5" i="6"/>
  <c r="Q5" i="6"/>
  <c r="P5" i="6"/>
  <c r="I5" i="6"/>
  <c r="H5" i="6"/>
  <c r="AT4" i="6"/>
  <c r="AL4" i="6"/>
  <c r="AK4" i="6"/>
  <c r="AG4" i="6"/>
  <c r="AF4" i="6"/>
  <c r="Y4" i="6"/>
  <c r="X4" i="6"/>
  <c r="Q4" i="6"/>
  <c r="P4" i="6"/>
  <c r="I4" i="6"/>
  <c r="H4" i="6"/>
  <c r="AO66" i="4"/>
  <c r="AL64" i="4"/>
  <c r="AK64" i="4"/>
  <c r="AC64" i="4"/>
  <c r="AB64" i="4"/>
  <c r="U64" i="4"/>
  <c r="T64" i="4"/>
  <c r="M64" i="4"/>
  <c r="L64" i="4"/>
  <c r="E64" i="4"/>
  <c r="D64" i="4"/>
  <c r="AO62" i="4"/>
  <c r="AL62" i="4"/>
  <c r="AK62" i="4"/>
  <c r="AC62" i="4"/>
  <c r="AB62" i="4"/>
  <c r="U62" i="4"/>
  <c r="T62" i="4"/>
  <c r="M62" i="4"/>
  <c r="L62" i="4"/>
  <c r="E62" i="4"/>
  <c r="D62" i="4"/>
  <c r="AP61" i="4"/>
  <c r="AO61" i="4"/>
  <c r="AL61" i="4"/>
  <c r="AK61" i="4"/>
  <c r="AC61" i="4"/>
  <c r="AB61" i="4"/>
  <c r="U61" i="4"/>
  <c r="T61" i="4"/>
  <c r="M61" i="4"/>
  <c r="L61" i="4"/>
  <c r="E61" i="4"/>
  <c r="D61" i="4"/>
  <c r="AL60" i="4"/>
  <c r="AK60" i="4"/>
  <c r="AC60" i="4"/>
  <c r="AB60" i="4"/>
  <c r="U60" i="4"/>
  <c r="T60" i="4"/>
  <c r="M60" i="4"/>
  <c r="L60" i="4"/>
  <c r="E60" i="4"/>
  <c r="D60" i="4"/>
  <c r="AO59" i="4"/>
  <c r="AL59" i="4"/>
  <c r="AK59" i="4"/>
  <c r="AC59" i="4"/>
  <c r="AB59" i="4"/>
  <c r="U59" i="4"/>
  <c r="T59" i="4"/>
  <c r="M59" i="4"/>
  <c r="L59" i="4"/>
  <c r="E59" i="4"/>
  <c r="D59" i="4"/>
  <c r="AP58" i="4"/>
  <c r="AO58" i="4"/>
  <c r="AL58" i="4"/>
  <c r="AK58" i="4"/>
  <c r="AC58" i="4"/>
  <c r="AB58" i="4"/>
  <c r="U58" i="4"/>
  <c r="T58" i="4"/>
  <c r="M58" i="4"/>
  <c r="L58" i="4"/>
  <c r="E58" i="4"/>
  <c r="D58" i="4"/>
  <c r="AL57" i="4"/>
  <c r="AK57" i="4"/>
  <c r="AC57" i="4"/>
  <c r="AB57" i="4"/>
  <c r="U57" i="4"/>
  <c r="T57" i="4"/>
  <c r="M57" i="4"/>
  <c r="L57" i="4"/>
  <c r="E57" i="4"/>
  <c r="D57" i="4"/>
  <c r="AL56" i="4"/>
  <c r="AK56" i="4"/>
  <c r="AC56" i="4"/>
  <c r="AB56" i="4"/>
  <c r="U56" i="4"/>
  <c r="T56" i="4"/>
  <c r="M56" i="4"/>
  <c r="L56" i="4"/>
  <c r="E56" i="4"/>
  <c r="D56" i="4"/>
  <c r="AO52" i="4"/>
  <c r="AL52" i="4"/>
  <c r="AK52" i="4"/>
  <c r="AC52" i="4"/>
  <c r="AB52" i="4"/>
  <c r="U52" i="4"/>
  <c r="T52" i="4"/>
  <c r="M52" i="4"/>
  <c r="L52" i="4"/>
  <c r="E52" i="4"/>
  <c r="D52" i="4"/>
  <c r="AP51" i="4"/>
  <c r="AO51" i="4"/>
  <c r="AL51" i="4"/>
  <c r="AK51" i="4"/>
  <c r="AC51" i="4"/>
  <c r="AB51" i="4"/>
  <c r="U51" i="4"/>
  <c r="T51" i="4"/>
  <c r="M51" i="4"/>
  <c r="L51" i="4"/>
  <c r="E51" i="4"/>
  <c r="D51" i="4"/>
  <c r="AL50" i="4"/>
  <c r="AK50" i="4"/>
  <c r="AD50" i="4"/>
  <c r="AC50" i="4"/>
  <c r="AB50" i="4"/>
  <c r="V50" i="4"/>
  <c r="U50" i="4"/>
  <c r="T50" i="4"/>
  <c r="N50" i="4"/>
  <c r="M50" i="4"/>
  <c r="L50" i="4"/>
  <c r="F50" i="4"/>
  <c r="E50" i="4"/>
  <c r="D50" i="4"/>
  <c r="AO49" i="4"/>
  <c r="AP48" i="4"/>
  <c r="AO48" i="4"/>
  <c r="AL48" i="4"/>
  <c r="AK48" i="4"/>
  <c r="AC48" i="4"/>
  <c r="AB48" i="4"/>
  <c r="U48" i="4"/>
  <c r="T48" i="4"/>
  <c r="M48" i="4"/>
  <c r="L48" i="4"/>
  <c r="E48" i="4"/>
  <c r="D48" i="4"/>
  <c r="AL47" i="4"/>
  <c r="AK47" i="4"/>
  <c r="AC47" i="4"/>
  <c r="AB47" i="4"/>
  <c r="U47" i="4"/>
  <c r="T47" i="4"/>
  <c r="M47" i="4"/>
  <c r="L47" i="4"/>
  <c r="E47" i="4"/>
  <c r="D47" i="4"/>
  <c r="AL46" i="4"/>
  <c r="AK46" i="4"/>
  <c r="AC46" i="4"/>
  <c r="AB46" i="4"/>
  <c r="U46" i="4"/>
  <c r="T46" i="4"/>
  <c r="M46" i="4"/>
  <c r="L46" i="4"/>
  <c r="E46" i="4"/>
  <c r="D46" i="4"/>
  <c r="AL45" i="4"/>
  <c r="AK45" i="4"/>
  <c r="AC45" i="4"/>
  <c r="AB45" i="4"/>
  <c r="U45" i="4"/>
  <c r="T45" i="4"/>
  <c r="M45" i="4"/>
  <c r="L45" i="4"/>
  <c r="E45" i="4"/>
  <c r="D45" i="4"/>
  <c r="AL44" i="4"/>
  <c r="AK44" i="4"/>
  <c r="AC44" i="4"/>
  <c r="AB44" i="4"/>
  <c r="U44" i="4"/>
  <c r="T44" i="4"/>
  <c r="M44" i="4"/>
  <c r="L44" i="4"/>
  <c r="E44" i="4"/>
  <c r="D44" i="4"/>
  <c r="AL43" i="4"/>
  <c r="AK43" i="4"/>
  <c r="AC43" i="4"/>
  <c r="AB43" i="4"/>
  <c r="U43" i="4"/>
  <c r="T43" i="4"/>
  <c r="M43" i="4"/>
  <c r="L43" i="4"/>
  <c r="E43" i="4"/>
  <c r="D43" i="4"/>
  <c r="AL42" i="4"/>
  <c r="AK42" i="4"/>
  <c r="AC42" i="4"/>
  <c r="AB42" i="4"/>
  <c r="U42" i="4"/>
  <c r="T42" i="4"/>
  <c r="M42" i="4"/>
  <c r="L42" i="4"/>
  <c r="E42" i="4"/>
  <c r="D42" i="4"/>
  <c r="AL41" i="4"/>
  <c r="AK41" i="4"/>
  <c r="AC41" i="4"/>
  <c r="AB41" i="4"/>
  <c r="U41" i="4"/>
  <c r="T41" i="4"/>
  <c r="M41" i="4"/>
  <c r="L41" i="4"/>
  <c r="E41" i="4"/>
  <c r="D41" i="4"/>
  <c r="AL40" i="4"/>
  <c r="AK40" i="4"/>
  <c r="AC40" i="4"/>
  <c r="AB40" i="4"/>
  <c r="U40" i="4"/>
  <c r="T40" i="4"/>
  <c r="M40" i="4"/>
  <c r="L40" i="4"/>
  <c r="E40" i="4"/>
  <c r="D40" i="4"/>
  <c r="AL39" i="4"/>
  <c r="AK39" i="4"/>
  <c r="AC39" i="4"/>
  <c r="AB39" i="4"/>
  <c r="U39" i="4"/>
  <c r="T39" i="4"/>
  <c r="M39" i="4"/>
  <c r="L39" i="4"/>
  <c r="E39" i="4"/>
  <c r="D39" i="4"/>
  <c r="AL38" i="4"/>
  <c r="AK38" i="4"/>
  <c r="AC38" i="4"/>
  <c r="AB38" i="4"/>
  <c r="U38" i="4"/>
  <c r="T38" i="4"/>
  <c r="M38" i="4"/>
  <c r="L38" i="4"/>
  <c r="E38" i="4"/>
  <c r="D38" i="4"/>
  <c r="AL37" i="4"/>
  <c r="AK37" i="4"/>
  <c r="AC37" i="4"/>
  <c r="AB37" i="4"/>
  <c r="U37" i="4"/>
  <c r="T37" i="4"/>
  <c r="M37" i="4"/>
  <c r="L37" i="4"/>
  <c r="E37" i="4"/>
  <c r="D37" i="4"/>
  <c r="AL36" i="4"/>
  <c r="AK36" i="4"/>
  <c r="AC36" i="4"/>
  <c r="AB36" i="4"/>
  <c r="U36" i="4"/>
  <c r="T36" i="4"/>
  <c r="M36" i="4"/>
  <c r="L36" i="4"/>
  <c r="E36" i="4"/>
  <c r="D36" i="4"/>
  <c r="AL35" i="4"/>
  <c r="AK35" i="4"/>
  <c r="AC35" i="4"/>
  <c r="AB35" i="4"/>
  <c r="U35" i="4"/>
  <c r="T35" i="4"/>
  <c r="M35" i="4"/>
  <c r="L35" i="4"/>
  <c r="E35" i="4"/>
  <c r="D35" i="4"/>
  <c r="AL34" i="4"/>
  <c r="AK34" i="4"/>
  <c r="AC34" i="4"/>
  <c r="AB34" i="4"/>
  <c r="U34" i="4"/>
  <c r="T34" i="4"/>
  <c r="M34" i="4"/>
  <c r="L34" i="4"/>
  <c r="E34" i="4"/>
  <c r="D34" i="4"/>
  <c r="AL33" i="4"/>
  <c r="AK33" i="4"/>
  <c r="AC33" i="4"/>
  <c r="AB33" i="4"/>
  <c r="U33" i="4"/>
  <c r="T33" i="4"/>
  <c r="M33" i="4"/>
  <c r="L33" i="4"/>
  <c r="E33" i="4"/>
  <c r="D33" i="4"/>
  <c r="AL32" i="4"/>
  <c r="AK32" i="4"/>
  <c r="AC32" i="4"/>
  <c r="AB32" i="4"/>
  <c r="U32" i="4"/>
  <c r="T32" i="4"/>
  <c r="M32" i="4"/>
  <c r="L32" i="4"/>
  <c r="E32" i="4"/>
  <c r="D32" i="4"/>
  <c r="AL31" i="4"/>
  <c r="AK31" i="4"/>
  <c r="AC31" i="4"/>
  <c r="AB31" i="4"/>
  <c r="U31" i="4"/>
  <c r="T31" i="4"/>
  <c r="M31" i="4"/>
  <c r="L31" i="4"/>
  <c r="E31" i="4"/>
  <c r="D31" i="4"/>
  <c r="AL30" i="4"/>
  <c r="AK30" i="4"/>
  <c r="AC30" i="4"/>
  <c r="AB30" i="4"/>
  <c r="U30" i="4"/>
  <c r="T30" i="4"/>
  <c r="M30" i="4"/>
  <c r="L30" i="4"/>
  <c r="E30" i="4"/>
  <c r="D30" i="4"/>
  <c r="AL29" i="4"/>
  <c r="AK29" i="4"/>
  <c r="AC29" i="4"/>
  <c r="AB29" i="4"/>
  <c r="U29" i="4"/>
  <c r="T29" i="4"/>
  <c r="M29" i="4"/>
  <c r="L29" i="4"/>
  <c r="E29" i="4"/>
  <c r="D29" i="4"/>
  <c r="AO28" i="4"/>
  <c r="AL28" i="4"/>
  <c r="AK28" i="4"/>
  <c r="AC28" i="4"/>
  <c r="AB28" i="4"/>
  <c r="U28" i="4"/>
  <c r="T28" i="4"/>
  <c r="M28" i="4"/>
  <c r="L28" i="4"/>
  <c r="E28" i="4"/>
  <c r="D28" i="4"/>
  <c r="AO27" i="4"/>
  <c r="AL27" i="4"/>
  <c r="AK27" i="4"/>
  <c r="AC27" i="4"/>
  <c r="AB27" i="4"/>
  <c r="U27" i="4"/>
  <c r="T27" i="4"/>
  <c r="M27" i="4"/>
  <c r="L27" i="4"/>
  <c r="E27" i="4"/>
  <c r="D27" i="4"/>
  <c r="AO26" i="4"/>
  <c r="AL26" i="4"/>
  <c r="AK26" i="4"/>
  <c r="AC26" i="4"/>
  <c r="AB26" i="4"/>
  <c r="U26" i="4"/>
  <c r="T26" i="4"/>
  <c r="M26" i="4"/>
  <c r="L26" i="4"/>
  <c r="E26" i="4"/>
  <c r="D26" i="4"/>
  <c r="AO25" i="4"/>
  <c r="AL25" i="4"/>
  <c r="AK25" i="4"/>
  <c r="AC25" i="4"/>
  <c r="AB25" i="4"/>
  <c r="U25" i="4"/>
  <c r="T25" i="4"/>
  <c r="M25" i="4"/>
  <c r="L25" i="4"/>
  <c r="E25" i="4"/>
  <c r="D25" i="4"/>
  <c r="AL24" i="4"/>
  <c r="AK24" i="4"/>
  <c r="AC24" i="4"/>
  <c r="AB24" i="4"/>
  <c r="U24" i="4"/>
  <c r="T24" i="4"/>
  <c r="M24" i="4"/>
  <c r="L24" i="4"/>
  <c r="E24" i="4"/>
  <c r="D24" i="4"/>
  <c r="AL23" i="4"/>
  <c r="AK23" i="4"/>
  <c r="AC23" i="4"/>
  <c r="AB23" i="4"/>
  <c r="U23" i="4"/>
  <c r="T23" i="4"/>
  <c r="M23" i="4"/>
  <c r="L23" i="4"/>
  <c r="E23" i="4"/>
  <c r="D23" i="4"/>
  <c r="AL22" i="4"/>
  <c r="AK22" i="4"/>
  <c r="AC22" i="4"/>
  <c r="AB22" i="4"/>
  <c r="U22" i="4"/>
  <c r="T22" i="4"/>
  <c r="M22" i="4"/>
  <c r="L22" i="4"/>
  <c r="E22" i="4"/>
  <c r="D22" i="4"/>
  <c r="AL21" i="4"/>
  <c r="AK21" i="4"/>
  <c r="AC21" i="4"/>
  <c r="AB21" i="4"/>
  <c r="U21" i="4"/>
  <c r="T21" i="4"/>
  <c r="M21" i="4"/>
  <c r="L21" i="4"/>
  <c r="E21" i="4"/>
  <c r="D21" i="4"/>
  <c r="AO20" i="4"/>
  <c r="AL20" i="4"/>
  <c r="AK20" i="4"/>
  <c r="AC20" i="4"/>
  <c r="AB20" i="4"/>
  <c r="U20" i="4"/>
  <c r="T20" i="4"/>
  <c r="M20" i="4"/>
  <c r="L20" i="4"/>
  <c r="E20" i="4"/>
  <c r="D20" i="4"/>
  <c r="AP19" i="4"/>
  <c r="AO19" i="4"/>
  <c r="AL19" i="4"/>
  <c r="AK19" i="4"/>
  <c r="AC19" i="4"/>
  <c r="AB19" i="4"/>
  <c r="U19" i="4"/>
  <c r="T19" i="4"/>
  <c r="M19" i="4"/>
  <c r="L19" i="4"/>
  <c r="E19" i="4"/>
  <c r="D19" i="4"/>
  <c r="AL18" i="4"/>
  <c r="AK18" i="4"/>
  <c r="AC18" i="4"/>
  <c r="AB18" i="4"/>
  <c r="U18" i="4"/>
  <c r="T18" i="4"/>
  <c r="M18" i="4"/>
  <c r="L18" i="4"/>
  <c r="E18" i="4"/>
  <c r="D18" i="4"/>
  <c r="AL17" i="4"/>
  <c r="AK17" i="4"/>
  <c r="AC17" i="4"/>
  <c r="AB17" i="4"/>
  <c r="U17" i="4"/>
  <c r="T17" i="4"/>
  <c r="M17" i="4"/>
  <c r="L17" i="4"/>
  <c r="E17" i="4"/>
  <c r="D17" i="4"/>
  <c r="AL16" i="4"/>
  <c r="AK16" i="4"/>
  <c r="AC16" i="4"/>
  <c r="AB16" i="4"/>
  <c r="U16" i="4"/>
  <c r="T16" i="4"/>
  <c r="M16" i="4"/>
  <c r="L16" i="4"/>
  <c r="E16" i="4"/>
  <c r="D16" i="4"/>
  <c r="AL15" i="4"/>
  <c r="AK15" i="4"/>
  <c r="AC15" i="4"/>
  <c r="AB15" i="4"/>
  <c r="U15" i="4"/>
  <c r="T15" i="4"/>
  <c r="M15" i="4"/>
  <c r="L15" i="4"/>
  <c r="E15" i="4"/>
  <c r="D15" i="4"/>
  <c r="AL14" i="4"/>
  <c r="AK14" i="4"/>
  <c r="AC14" i="4"/>
  <c r="AB14" i="4"/>
  <c r="U14" i="4"/>
  <c r="T14" i="4"/>
  <c r="M14" i="4"/>
  <c r="L14" i="4"/>
  <c r="E14" i="4"/>
  <c r="D14" i="4"/>
  <c r="AT13" i="4"/>
  <c r="AL13" i="4"/>
  <c r="AK13" i="4"/>
  <c r="AC13" i="4"/>
  <c r="AB13" i="4"/>
  <c r="U13" i="4"/>
  <c r="T13" i="4"/>
  <c r="M13" i="4"/>
  <c r="L13" i="4"/>
  <c r="E13" i="4"/>
  <c r="D13" i="4"/>
  <c r="AT12" i="4"/>
  <c r="AL12" i="4"/>
  <c r="AK12" i="4"/>
  <c r="AC12" i="4"/>
  <c r="AB12" i="4"/>
  <c r="U12" i="4"/>
  <c r="T12" i="4"/>
  <c r="M12" i="4"/>
  <c r="L12" i="4"/>
  <c r="E12" i="4"/>
  <c r="D12" i="4"/>
  <c r="AT11" i="4"/>
  <c r="AL11" i="4"/>
  <c r="AK11" i="4"/>
  <c r="AC11" i="4"/>
  <c r="AB11" i="4"/>
  <c r="U11" i="4"/>
  <c r="T11" i="4"/>
  <c r="M11" i="4"/>
  <c r="L11" i="4"/>
  <c r="E11" i="4"/>
  <c r="D11" i="4"/>
  <c r="AT10" i="4"/>
  <c r="AL10" i="4"/>
  <c r="AK10" i="4"/>
  <c r="AC10" i="4"/>
  <c r="AB10" i="4"/>
  <c r="U10" i="4"/>
  <c r="T10" i="4"/>
  <c r="M10" i="4"/>
  <c r="L10" i="4"/>
  <c r="E10" i="4"/>
  <c r="D10" i="4"/>
  <c r="AT9" i="4"/>
  <c r="AL9" i="4"/>
  <c r="AK9" i="4"/>
  <c r="AC9" i="4"/>
  <c r="AB9" i="4"/>
  <c r="U9" i="4"/>
  <c r="T9" i="4"/>
  <c r="M9" i="4"/>
  <c r="L9" i="4"/>
  <c r="E9" i="4"/>
  <c r="D9" i="4"/>
  <c r="AT8" i="4"/>
  <c r="AL8" i="4"/>
  <c r="AK8" i="4"/>
  <c r="AC8" i="4"/>
  <c r="AB8" i="4"/>
  <c r="U8" i="4"/>
  <c r="T8" i="4"/>
  <c r="M8" i="4"/>
  <c r="L8" i="4"/>
  <c r="E8" i="4"/>
  <c r="D8" i="4"/>
  <c r="AT7" i="4"/>
  <c r="AL7" i="4"/>
  <c r="AK7" i="4"/>
  <c r="AC7" i="4"/>
  <c r="AB7" i="4"/>
  <c r="U7" i="4"/>
  <c r="T7" i="4"/>
  <c r="M7" i="4"/>
  <c r="L7" i="4"/>
  <c r="E7" i="4"/>
  <c r="D7" i="4"/>
  <c r="AT6" i="4"/>
  <c r="AL6" i="4"/>
  <c r="AK6" i="4"/>
  <c r="AC6" i="4"/>
  <c r="AB6" i="4"/>
  <c r="U6" i="4"/>
  <c r="T6" i="4"/>
  <c r="M6" i="4"/>
  <c r="L6" i="4"/>
  <c r="E6" i="4"/>
  <c r="D6" i="4"/>
  <c r="AT5" i="4"/>
  <c r="AL5" i="4"/>
  <c r="AK5" i="4"/>
  <c r="AC5" i="4"/>
  <c r="AB5" i="4"/>
  <c r="U5" i="4"/>
  <c r="T5" i="4"/>
  <c r="M5" i="4"/>
  <c r="L5" i="4"/>
  <c r="E5" i="4"/>
  <c r="D5" i="4"/>
  <c r="AT4" i="4"/>
  <c r="AL4" i="4"/>
  <c r="AK4" i="4"/>
  <c r="AC4" i="4"/>
  <c r="AB4" i="4"/>
  <c r="U4" i="4"/>
  <c r="T4" i="4"/>
  <c r="M4" i="4"/>
  <c r="L4" i="4"/>
  <c r="E4" i="4"/>
  <c r="D4" i="4"/>
  <c r="AM66" i="3"/>
  <c r="AJ64" i="3"/>
  <c r="AI64" i="3"/>
  <c r="AC64" i="3"/>
  <c r="AB64" i="3"/>
  <c r="U64" i="3"/>
  <c r="T64" i="3"/>
  <c r="M64" i="3"/>
  <c r="L64" i="3"/>
  <c r="E64" i="3"/>
  <c r="D64" i="3"/>
  <c r="AM62" i="3"/>
  <c r="AJ62" i="3"/>
  <c r="AI62" i="3"/>
  <c r="AC62" i="3"/>
  <c r="AB62" i="3"/>
  <c r="U62" i="3"/>
  <c r="T62" i="3"/>
  <c r="M62" i="3"/>
  <c r="L62" i="3"/>
  <c r="E62" i="3"/>
  <c r="D62" i="3"/>
  <c r="AN61" i="3"/>
  <c r="AM61" i="3"/>
  <c r="AJ61" i="3"/>
  <c r="AI61" i="3"/>
  <c r="AC61" i="3"/>
  <c r="AB61" i="3"/>
  <c r="U61" i="3"/>
  <c r="T61" i="3"/>
  <c r="M61" i="3"/>
  <c r="L61" i="3"/>
  <c r="E61" i="3"/>
  <c r="D61" i="3"/>
  <c r="AJ60" i="3"/>
  <c r="AI60" i="3"/>
  <c r="AC60" i="3"/>
  <c r="AB60" i="3"/>
  <c r="U60" i="3"/>
  <c r="T60" i="3"/>
  <c r="M60" i="3"/>
  <c r="L60" i="3"/>
  <c r="E60" i="3"/>
  <c r="D60" i="3"/>
  <c r="AM59" i="3"/>
  <c r="AJ59" i="3"/>
  <c r="AI59" i="3"/>
  <c r="AC59" i="3"/>
  <c r="AB59" i="3"/>
  <c r="U59" i="3"/>
  <c r="T59" i="3"/>
  <c r="M59" i="3"/>
  <c r="L59" i="3"/>
  <c r="E59" i="3"/>
  <c r="D59" i="3"/>
  <c r="AN58" i="3"/>
  <c r="AM58" i="3"/>
  <c r="AJ58" i="3"/>
  <c r="AI58" i="3"/>
  <c r="AC58" i="3"/>
  <c r="AB58" i="3"/>
  <c r="U58" i="3"/>
  <c r="T58" i="3"/>
  <c r="M58" i="3"/>
  <c r="L58" i="3"/>
  <c r="E58" i="3"/>
  <c r="D58" i="3"/>
  <c r="AJ57" i="3"/>
  <c r="AI57" i="3"/>
  <c r="AC57" i="3"/>
  <c r="AB57" i="3"/>
  <c r="U57" i="3"/>
  <c r="T57" i="3"/>
  <c r="M57" i="3"/>
  <c r="L57" i="3"/>
  <c r="E57" i="3"/>
  <c r="D57" i="3"/>
  <c r="AJ56" i="3"/>
  <c r="AI56" i="3"/>
  <c r="AC56" i="3"/>
  <c r="AB56" i="3"/>
  <c r="U56" i="3"/>
  <c r="T56" i="3"/>
  <c r="M56" i="3"/>
  <c r="L56" i="3"/>
  <c r="E56" i="3"/>
  <c r="D56" i="3"/>
  <c r="AM52" i="3"/>
  <c r="AJ52" i="3"/>
  <c r="AI52" i="3"/>
  <c r="AC52" i="3"/>
  <c r="AB52" i="3"/>
  <c r="U52" i="3"/>
  <c r="T52" i="3"/>
  <c r="M52" i="3"/>
  <c r="L52" i="3"/>
  <c r="E52" i="3"/>
  <c r="D52" i="3"/>
  <c r="AN51" i="3"/>
  <c r="AM51" i="3"/>
  <c r="AJ51" i="3"/>
  <c r="AI51" i="3"/>
  <c r="AC51" i="3"/>
  <c r="AB51" i="3"/>
  <c r="U51" i="3"/>
  <c r="T51" i="3"/>
  <c r="M51" i="3"/>
  <c r="L51" i="3"/>
  <c r="E51" i="3"/>
  <c r="D51" i="3"/>
  <c r="AJ50" i="3"/>
  <c r="AI50" i="3"/>
  <c r="AC50" i="3"/>
  <c r="AB50" i="3"/>
  <c r="U50" i="3"/>
  <c r="T50" i="3"/>
  <c r="M50" i="3"/>
  <c r="L50" i="3"/>
  <c r="E50" i="3"/>
  <c r="D50" i="3"/>
  <c r="AM49" i="3"/>
  <c r="AN48" i="3"/>
  <c r="AM48" i="3"/>
  <c r="AJ48" i="3"/>
  <c r="AI48" i="3"/>
  <c r="AC48" i="3"/>
  <c r="AB48" i="3"/>
  <c r="U48" i="3"/>
  <c r="T48" i="3"/>
  <c r="M48" i="3"/>
  <c r="L48" i="3"/>
  <c r="E48" i="3"/>
  <c r="D48" i="3"/>
  <c r="AJ47" i="3"/>
  <c r="AI47" i="3"/>
  <c r="AC47" i="3"/>
  <c r="AB47" i="3"/>
  <c r="U47" i="3"/>
  <c r="T47" i="3"/>
  <c r="M47" i="3"/>
  <c r="L47" i="3"/>
  <c r="E47" i="3"/>
  <c r="D47" i="3"/>
  <c r="AJ46" i="3"/>
  <c r="AI46" i="3"/>
  <c r="AC46" i="3"/>
  <c r="AB46" i="3"/>
  <c r="U46" i="3"/>
  <c r="T46" i="3"/>
  <c r="M46" i="3"/>
  <c r="L46" i="3"/>
  <c r="E46" i="3"/>
  <c r="D46" i="3"/>
  <c r="AJ45" i="3"/>
  <c r="AI45" i="3"/>
  <c r="AC45" i="3"/>
  <c r="AB45" i="3"/>
  <c r="U45" i="3"/>
  <c r="T45" i="3"/>
  <c r="M45" i="3"/>
  <c r="L45" i="3"/>
  <c r="E45" i="3"/>
  <c r="D45" i="3"/>
  <c r="AJ44" i="3"/>
  <c r="AI44" i="3"/>
  <c r="AC44" i="3"/>
  <c r="AB44" i="3"/>
  <c r="U44" i="3"/>
  <c r="T44" i="3"/>
  <c r="M44" i="3"/>
  <c r="L44" i="3"/>
  <c r="E44" i="3"/>
  <c r="D44" i="3"/>
  <c r="AJ43" i="3"/>
  <c r="AI43" i="3"/>
  <c r="AC43" i="3"/>
  <c r="AB43" i="3"/>
  <c r="U43" i="3"/>
  <c r="T43" i="3"/>
  <c r="M43" i="3"/>
  <c r="L43" i="3"/>
  <c r="E43" i="3"/>
  <c r="D43" i="3"/>
  <c r="AJ42" i="3"/>
  <c r="AI42" i="3"/>
  <c r="AC42" i="3"/>
  <c r="AB42" i="3"/>
  <c r="U42" i="3"/>
  <c r="T42" i="3"/>
  <c r="M42" i="3"/>
  <c r="L42" i="3"/>
  <c r="E42" i="3"/>
  <c r="D42" i="3"/>
  <c r="AJ41" i="3"/>
  <c r="AI41" i="3"/>
  <c r="AC41" i="3"/>
  <c r="AB41" i="3"/>
  <c r="U41" i="3"/>
  <c r="T41" i="3"/>
  <c r="M41" i="3"/>
  <c r="L41" i="3"/>
  <c r="E41" i="3"/>
  <c r="D41" i="3"/>
  <c r="AJ40" i="3"/>
  <c r="AI40" i="3"/>
  <c r="AC40" i="3"/>
  <c r="AB40" i="3"/>
  <c r="U40" i="3"/>
  <c r="T40" i="3"/>
  <c r="M40" i="3"/>
  <c r="L40" i="3"/>
  <c r="E40" i="3"/>
  <c r="D40" i="3"/>
  <c r="AJ39" i="3"/>
  <c r="AI39" i="3"/>
  <c r="AC39" i="3"/>
  <c r="AB39" i="3"/>
  <c r="U39" i="3"/>
  <c r="T39" i="3"/>
  <c r="M39" i="3"/>
  <c r="L39" i="3"/>
  <c r="E39" i="3"/>
  <c r="D39" i="3"/>
  <c r="AJ38" i="3"/>
  <c r="AI38" i="3"/>
  <c r="AC38" i="3"/>
  <c r="AB38" i="3"/>
  <c r="U38" i="3"/>
  <c r="T38" i="3"/>
  <c r="M38" i="3"/>
  <c r="L38" i="3"/>
  <c r="E38" i="3"/>
  <c r="D38" i="3"/>
  <c r="AJ37" i="3"/>
  <c r="AI37" i="3"/>
  <c r="AC37" i="3"/>
  <c r="AB37" i="3"/>
  <c r="U37" i="3"/>
  <c r="T37" i="3"/>
  <c r="M37" i="3"/>
  <c r="L37" i="3"/>
  <c r="E37" i="3"/>
  <c r="D37" i="3"/>
  <c r="AJ36" i="3"/>
  <c r="AI36" i="3"/>
  <c r="AC36" i="3"/>
  <c r="AB36" i="3"/>
  <c r="U36" i="3"/>
  <c r="T36" i="3"/>
  <c r="M36" i="3"/>
  <c r="L36" i="3"/>
  <c r="E36" i="3"/>
  <c r="D36" i="3"/>
  <c r="AJ35" i="3"/>
  <c r="AI35" i="3"/>
  <c r="AC35" i="3"/>
  <c r="AB35" i="3"/>
  <c r="U35" i="3"/>
  <c r="T35" i="3"/>
  <c r="M35" i="3"/>
  <c r="L35" i="3"/>
  <c r="E35" i="3"/>
  <c r="D35" i="3"/>
  <c r="AJ34" i="3"/>
  <c r="AI34" i="3"/>
  <c r="AC34" i="3"/>
  <c r="AB34" i="3"/>
  <c r="U34" i="3"/>
  <c r="T34" i="3"/>
  <c r="M34" i="3"/>
  <c r="L34" i="3"/>
  <c r="E34" i="3"/>
  <c r="D34" i="3"/>
  <c r="AJ33" i="3"/>
  <c r="AI33" i="3"/>
  <c r="AC33" i="3"/>
  <c r="AB33" i="3"/>
  <c r="U33" i="3"/>
  <c r="T33" i="3"/>
  <c r="M33" i="3"/>
  <c r="L33" i="3"/>
  <c r="E33" i="3"/>
  <c r="D33" i="3"/>
  <c r="AJ32" i="3"/>
  <c r="AI32" i="3"/>
  <c r="AC32" i="3"/>
  <c r="AB32" i="3"/>
  <c r="U32" i="3"/>
  <c r="T32" i="3"/>
  <c r="M32" i="3"/>
  <c r="L32" i="3"/>
  <c r="E32" i="3"/>
  <c r="D32" i="3"/>
  <c r="AJ31" i="3"/>
  <c r="AI31" i="3"/>
  <c r="AC31" i="3"/>
  <c r="AB31" i="3"/>
  <c r="U31" i="3"/>
  <c r="T31" i="3"/>
  <c r="M31" i="3"/>
  <c r="L31" i="3"/>
  <c r="E31" i="3"/>
  <c r="D31" i="3"/>
  <c r="AJ30" i="3"/>
  <c r="AI30" i="3"/>
  <c r="AC30" i="3"/>
  <c r="AB30" i="3"/>
  <c r="U30" i="3"/>
  <c r="T30" i="3"/>
  <c r="M30" i="3"/>
  <c r="L30" i="3"/>
  <c r="E30" i="3"/>
  <c r="D30" i="3"/>
  <c r="AJ29" i="3"/>
  <c r="AI29" i="3"/>
  <c r="AC29" i="3"/>
  <c r="AB29" i="3"/>
  <c r="U29" i="3"/>
  <c r="T29" i="3"/>
  <c r="M29" i="3"/>
  <c r="L29" i="3"/>
  <c r="E29" i="3"/>
  <c r="D29" i="3"/>
  <c r="AM28" i="3"/>
  <c r="AJ28" i="3"/>
  <c r="AI28" i="3"/>
  <c r="AC28" i="3"/>
  <c r="AB28" i="3"/>
  <c r="U28" i="3"/>
  <c r="T28" i="3"/>
  <c r="M28" i="3"/>
  <c r="L28" i="3"/>
  <c r="E28" i="3"/>
  <c r="D28" i="3"/>
  <c r="AM27" i="3"/>
  <c r="AJ27" i="3"/>
  <c r="AI27" i="3"/>
  <c r="AC27" i="3"/>
  <c r="AB27" i="3"/>
  <c r="U27" i="3"/>
  <c r="T27" i="3"/>
  <c r="M27" i="3"/>
  <c r="L27" i="3"/>
  <c r="E27" i="3"/>
  <c r="D27" i="3"/>
  <c r="AM26" i="3"/>
  <c r="AJ26" i="3"/>
  <c r="AI26" i="3"/>
  <c r="AC26" i="3"/>
  <c r="AB26" i="3"/>
  <c r="U26" i="3"/>
  <c r="T26" i="3"/>
  <c r="M26" i="3"/>
  <c r="L26" i="3"/>
  <c r="E26" i="3"/>
  <c r="D26" i="3"/>
  <c r="AM25" i="3"/>
  <c r="AJ25" i="3"/>
  <c r="AI25" i="3"/>
  <c r="AC25" i="3"/>
  <c r="AB25" i="3"/>
  <c r="U25" i="3"/>
  <c r="T25" i="3"/>
  <c r="M25" i="3"/>
  <c r="L25" i="3"/>
  <c r="E25" i="3"/>
  <c r="D25" i="3"/>
  <c r="AJ24" i="3"/>
  <c r="AI24" i="3"/>
  <c r="AC24" i="3"/>
  <c r="AB24" i="3"/>
  <c r="U24" i="3"/>
  <c r="T24" i="3"/>
  <c r="M24" i="3"/>
  <c r="L24" i="3"/>
  <c r="E24" i="3"/>
  <c r="D24" i="3"/>
  <c r="AJ23" i="3"/>
  <c r="AI23" i="3"/>
  <c r="AC23" i="3"/>
  <c r="AB23" i="3"/>
  <c r="U23" i="3"/>
  <c r="T23" i="3"/>
  <c r="M23" i="3"/>
  <c r="L23" i="3"/>
  <c r="E23" i="3"/>
  <c r="D23" i="3"/>
  <c r="AJ22" i="3"/>
  <c r="AI22" i="3"/>
  <c r="AC22" i="3"/>
  <c r="AB22" i="3"/>
  <c r="U22" i="3"/>
  <c r="T22" i="3"/>
  <c r="M22" i="3"/>
  <c r="L22" i="3"/>
  <c r="E22" i="3"/>
  <c r="D22" i="3"/>
  <c r="AJ21" i="3"/>
  <c r="AI21" i="3"/>
  <c r="AC21" i="3"/>
  <c r="AB21" i="3"/>
  <c r="U21" i="3"/>
  <c r="T21" i="3"/>
  <c r="M21" i="3"/>
  <c r="L21" i="3"/>
  <c r="E21" i="3"/>
  <c r="D21" i="3"/>
  <c r="AM20" i="3"/>
  <c r="AJ20" i="3"/>
  <c r="AI20" i="3"/>
  <c r="AC20" i="3"/>
  <c r="AB20" i="3"/>
  <c r="U20" i="3"/>
  <c r="T20" i="3"/>
  <c r="M20" i="3"/>
  <c r="L20" i="3"/>
  <c r="E20" i="3"/>
  <c r="D20" i="3"/>
  <c r="AN19" i="3"/>
  <c r="AM19" i="3"/>
  <c r="AJ19" i="3"/>
  <c r="AI19" i="3"/>
  <c r="AC19" i="3"/>
  <c r="AB19" i="3"/>
  <c r="U19" i="3"/>
  <c r="T19" i="3"/>
  <c r="M19" i="3"/>
  <c r="L19" i="3"/>
  <c r="E19" i="3"/>
  <c r="D19" i="3"/>
  <c r="AJ18" i="3"/>
  <c r="AI18" i="3"/>
  <c r="AC18" i="3"/>
  <c r="AB18" i="3"/>
  <c r="U18" i="3"/>
  <c r="T18" i="3"/>
  <c r="M18" i="3"/>
  <c r="L18" i="3"/>
  <c r="E18" i="3"/>
  <c r="D18" i="3"/>
  <c r="AJ17" i="3"/>
  <c r="AI17" i="3"/>
  <c r="AC17" i="3"/>
  <c r="AB17" i="3"/>
  <c r="U17" i="3"/>
  <c r="T17" i="3"/>
  <c r="M17" i="3"/>
  <c r="L17" i="3"/>
  <c r="E17" i="3"/>
  <c r="D17" i="3"/>
  <c r="AJ16" i="3"/>
  <c r="AI16" i="3"/>
  <c r="AC16" i="3"/>
  <c r="AB16" i="3"/>
  <c r="U16" i="3"/>
  <c r="T16" i="3"/>
  <c r="M16" i="3"/>
  <c r="L16" i="3"/>
  <c r="E16" i="3"/>
  <c r="D16" i="3"/>
  <c r="AJ15" i="3"/>
  <c r="AI15" i="3"/>
  <c r="AC15" i="3"/>
  <c r="AB15" i="3"/>
  <c r="U15" i="3"/>
  <c r="T15" i="3"/>
  <c r="M15" i="3"/>
  <c r="L15" i="3"/>
  <c r="E15" i="3"/>
  <c r="D15" i="3"/>
  <c r="AJ14" i="3"/>
  <c r="AI14" i="3"/>
  <c r="AC14" i="3"/>
  <c r="AB14" i="3"/>
  <c r="U14" i="3"/>
  <c r="T14" i="3"/>
  <c r="M14" i="3"/>
  <c r="L14" i="3"/>
  <c r="E14" i="3"/>
  <c r="D14" i="3"/>
  <c r="AR13" i="3"/>
  <c r="AJ13" i="3"/>
  <c r="AI13" i="3"/>
  <c r="AC13" i="3"/>
  <c r="AB13" i="3"/>
  <c r="U13" i="3"/>
  <c r="T13" i="3"/>
  <c r="M13" i="3"/>
  <c r="L13" i="3"/>
  <c r="E13" i="3"/>
  <c r="D13" i="3"/>
  <c r="AR12" i="3"/>
  <c r="AJ12" i="3"/>
  <c r="AI12" i="3"/>
  <c r="AC12" i="3"/>
  <c r="AB12" i="3"/>
  <c r="U12" i="3"/>
  <c r="T12" i="3"/>
  <c r="M12" i="3"/>
  <c r="L12" i="3"/>
  <c r="E12" i="3"/>
  <c r="D12" i="3"/>
  <c r="AR11" i="3"/>
  <c r="AJ11" i="3"/>
  <c r="AI11" i="3"/>
  <c r="AC11" i="3"/>
  <c r="AB11" i="3"/>
  <c r="U11" i="3"/>
  <c r="T11" i="3"/>
  <c r="M11" i="3"/>
  <c r="L11" i="3"/>
  <c r="E11" i="3"/>
  <c r="D11" i="3"/>
  <c r="AR10" i="3"/>
  <c r="AJ10" i="3"/>
  <c r="AI10" i="3"/>
  <c r="AC10" i="3"/>
  <c r="AB10" i="3"/>
  <c r="U10" i="3"/>
  <c r="T10" i="3"/>
  <c r="M10" i="3"/>
  <c r="L10" i="3"/>
  <c r="E10" i="3"/>
  <c r="D10" i="3"/>
  <c r="AR9" i="3"/>
  <c r="AJ9" i="3"/>
  <c r="AI9" i="3"/>
  <c r="AC9" i="3"/>
  <c r="AB9" i="3"/>
  <c r="U9" i="3"/>
  <c r="T9" i="3"/>
  <c r="M9" i="3"/>
  <c r="L9" i="3"/>
  <c r="E9" i="3"/>
  <c r="D9" i="3"/>
  <c r="AR8" i="3"/>
  <c r="AJ8" i="3"/>
  <c r="AI8" i="3"/>
  <c r="AC8" i="3"/>
  <c r="AB8" i="3"/>
  <c r="U8" i="3"/>
  <c r="T8" i="3"/>
  <c r="M8" i="3"/>
  <c r="L8" i="3"/>
  <c r="E8" i="3"/>
  <c r="D8" i="3"/>
  <c r="AR7" i="3"/>
  <c r="AJ7" i="3"/>
  <c r="AI7" i="3"/>
  <c r="AC7" i="3"/>
  <c r="AB7" i="3"/>
  <c r="U7" i="3"/>
  <c r="T7" i="3"/>
  <c r="M7" i="3"/>
  <c r="L7" i="3"/>
  <c r="E7" i="3"/>
  <c r="D7" i="3"/>
  <c r="AR6" i="3"/>
  <c r="AJ6" i="3"/>
  <c r="AI6" i="3"/>
  <c r="AC6" i="3"/>
  <c r="AB6" i="3"/>
  <c r="U6" i="3"/>
  <c r="T6" i="3"/>
  <c r="M6" i="3"/>
  <c r="L6" i="3"/>
  <c r="E6" i="3"/>
  <c r="D6" i="3"/>
  <c r="AR5" i="3"/>
  <c r="AJ5" i="3"/>
  <c r="AI5" i="3"/>
  <c r="AC5" i="3"/>
  <c r="AB5" i="3"/>
  <c r="U5" i="3"/>
  <c r="T5" i="3"/>
  <c r="M5" i="3"/>
  <c r="L5" i="3"/>
  <c r="E5" i="3"/>
  <c r="D5" i="3"/>
  <c r="AR4" i="3"/>
  <c r="AJ4" i="3"/>
  <c r="AI4" i="3"/>
  <c r="AC4" i="3"/>
  <c r="AB4" i="3"/>
  <c r="U4" i="3"/>
  <c r="T4" i="3"/>
  <c r="M4" i="3"/>
  <c r="L4" i="3"/>
  <c r="E4" i="3"/>
  <c r="D4" i="3"/>
  <c r="AO66" i="2"/>
  <c r="AL64" i="2"/>
  <c r="AK64" i="2"/>
  <c r="AE64" i="2"/>
  <c r="AD64" i="2"/>
  <c r="W64" i="2"/>
  <c r="V64" i="2"/>
  <c r="O64" i="2"/>
  <c r="N64" i="2"/>
  <c r="G64" i="2"/>
  <c r="F64" i="2"/>
  <c r="AO62" i="2"/>
  <c r="AL62" i="2"/>
  <c r="AK62" i="2"/>
  <c r="AE62" i="2"/>
  <c r="AD62" i="2"/>
  <c r="W62" i="2"/>
  <c r="V62" i="2"/>
  <c r="O62" i="2"/>
  <c r="N62" i="2"/>
  <c r="G62" i="2"/>
  <c r="F62" i="2"/>
  <c r="AP61" i="2"/>
  <c r="AO61" i="2"/>
  <c r="AL61" i="2"/>
  <c r="AK61" i="2"/>
  <c r="AE61" i="2"/>
  <c r="AD61" i="2"/>
  <c r="W61" i="2"/>
  <c r="V61" i="2"/>
  <c r="O61" i="2"/>
  <c r="N61" i="2"/>
  <c r="G61" i="2"/>
  <c r="F61" i="2"/>
  <c r="AL60" i="2"/>
  <c r="AK60" i="2"/>
  <c r="AE60" i="2"/>
  <c r="AD60" i="2"/>
  <c r="W60" i="2"/>
  <c r="V60" i="2"/>
  <c r="O60" i="2"/>
  <c r="N60" i="2"/>
  <c r="G60" i="2"/>
  <c r="F60" i="2"/>
  <c r="AO59" i="2"/>
  <c r="AL59" i="2"/>
  <c r="AK59" i="2"/>
  <c r="AE59" i="2"/>
  <c r="AD59" i="2"/>
  <c r="W59" i="2"/>
  <c r="V59" i="2"/>
  <c r="O59" i="2"/>
  <c r="N59" i="2"/>
  <c r="G59" i="2"/>
  <c r="F59" i="2"/>
  <c r="AP58" i="2"/>
  <c r="AO58" i="2"/>
  <c r="AL58" i="2"/>
  <c r="AK58" i="2"/>
  <c r="AE58" i="2"/>
  <c r="AD58" i="2"/>
  <c r="W58" i="2"/>
  <c r="V58" i="2"/>
  <c r="O58" i="2"/>
  <c r="N58" i="2"/>
  <c r="G58" i="2"/>
  <c r="F58" i="2"/>
  <c r="AL57" i="2"/>
  <c r="AK57" i="2"/>
  <c r="AE57" i="2"/>
  <c r="AD57" i="2"/>
  <c r="W57" i="2"/>
  <c r="V57" i="2"/>
  <c r="O57" i="2"/>
  <c r="N57" i="2"/>
  <c r="G57" i="2"/>
  <c r="F57" i="2"/>
  <c r="AL56" i="2"/>
  <c r="AK56" i="2"/>
  <c r="AE56" i="2"/>
  <c r="AD56" i="2"/>
  <c r="W56" i="2"/>
  <c r="V56" i="2"/>
  <c r="O56" i="2"/>
  <c r="N56" i="2"/>
  <c r="G56" i="2"/>
  <c r="F56" i="2"/>
  <c r="AO52" i="2"/>
  <c r="AL52" i="2"/>
  <c r="AK52" i="2"/>
  <c r="AE52" i="2"/>
  <c r="AD52" i="2"/>
  <c r="W52" i="2"/>
  <c r="V52" i="2"/>
  <c r="O52" i="2"/>
  <c r="N52" i="2"/>
  <c r="G52" i="2"/>
  <c r="F52" i="2"/>
  <c r="AP51" i="2"/>
  <c r="AO51" i="2"/>
  <c r="AL51" i="2"/>
  <c r="AK51" i="2"/>
  <c r="AE51" i="2"/>
  <c r="AD51" i="2"/>
  <c r="W51" i="2"/>
  <c r="V51" i="2"/>
  <c r="O51" i="2"/>
  <c r="N51" i="2"/>
  <c r="G51" i="2"/>
  <c r="F51" i="2"/>
  <c r="AL50" i="2"/>
  <c r="AK50" i="2"/>
  <c r="AE50" i="2"/>
  <c r="AD50" i="2"/>
  <c r="W50" i="2"/>
  <c r="V50" i="2"/>
  <c r="O50" i="2"/>
  <c r="N50" i="2"/>
  <c r="G50" i="2"/>
  <c r="F50" i="2"/>
  <c r="AO49" i="2"/>
  <c r="AP48" i="2"/>
  <c r="AO48" i="2"/>
  <c r="AL48" i="2"/>
  <c r="AK48" i="2"/>
  <c r="AE48" i="2"/>
  <c r="AD48" i="2"/>
  <c r="W48" i="2"/>
  <c r="V48" i="2"/>
  <c r="O48" i="2"/>
  <c r="N48" i="2"/>
  <c r="G48" i="2"/>
  <c r="F48" i="2"/>
  <c r="AL47" i="2"/>
  <c r="AK47" i="2"/>
  <c r="AE47" i="2"/>
  <c r="AD47" i="2"/>
  <c r="W47" i="2"/>
  <c r="V47" i="2"/>
  <c r="O47" i="2"/>
  <c r="N47" i="2"/>
  <c r="G47" i="2"/>
  <c r="F47" i="2"/>
  <c r="AL46" i="2"/>
  <c r="AK46" i="2"/>
  <c r="AE46" i="2"/>
  <c r="AD46" i="2"/>
  <c r="W46" i="2"/>
  <c r="V46" i="2"/>
  <c r="O46" i="2"/>
  <c r="N46" i="2"/>
  <c r="G46" i="2"/>
  <c r="F46" i="2"/>
  <c r="AL45" i="2"/>
  <c r="AK45" i="2"/>
  <c r="AE45" i="2"/>
  <c r="AD45" i="2"/>
  <c r="W45" i="2"/>
  <c r="V45" i="2"/>
  <c r="O45" i="2"/>
  <c r="N45" i="2"/>
  <c r="G45" i="2"/>
  <c r="F45" i="2"/>
  <c r="AL44" i="2"/>
  <c r="AK44" i="2"/>
  <c r="AE44" i="2"/>
  <c r="AD44" i="2"/>
  <c r="W44" i="2"/>
  <c r="V44" i="2"/>
  <c r="O44" i="2"/>
  <c r="N44" i="2"/>
  <c r="G44" i="2"/>
  <c r="F44" i="2"/>
  <c r="AL43" i="2"/>
  <c r="AK43" i="2"/>
  <c r="AE43" i="2"/>
  <c r="AD43" i="2"/>
  <c r="W43" i="2"/>
  <c r="V43" i="2"/>
  <c r="O43" i="2"/>
  <c r="N43" i="2"/>
  <c r="G43" i="2"/>
  <c r="F43" i="2"/>
  <c r="AL42" i="2"/>
  <c r="AK42" i="2"/>
  <c r="AE42" i="2"/>
  <c r="AD42" i="2"/>
  <c r="W42" i="2"/>
  <c r="V42" i="2"/>
  <c r="O42" i="2"/>
  <c r="N42" i="2"/>
  <c r="G42" i="2"/>
  <c r="F42" i="2"/>
  <c r="AL41" i="2"/>
  <c r="AK41" i="2"/>
  <c r="AE41" i="2"/>
  <c r="AD41" i="2"/>
  <c r="W41" i="2"/>
  <c r="V41" i="2"/>
  <c r="O41" i="2"/>
  <c r="N41" i="2"/>
  <c r="G41" i="2"/>
  <c r="F41" i="2"/>
  <c r="AL40" i="2"/>
  <c r="AK40" i="2"/>
  <c r="AE40" i="2"/>
  <c r="AD40" i="2"/>
  <c r="W40" i="2"/>
  <c r="V40" i="2"/>
  <c r="O40" i="2"/>
  <c r="N40" i="2"/>
  <c r="G40" i="2"/>
  <c r="F40" i="2"/>
  <c r="AL39" i="2"/>
  <c r="AK39" i="2"/>
  <c r="AE39" i="2"/>
  <c r="AD39" i="2"/>
  <c r="W39" i="2"/>
  <c r="V39" i="2"/>
  <c r="O39" i="2"/>
  <c r="N39" i="2"/>
  <c r="G39" i="2"/>
  <c r="F39" i="2"/>
  <c r="AL38" i="2"/>
  <c r="AK38" i="2"/>
  <c r="AE38" i="2"/>
  <c r="AD38" i="2"/>
  <c r="W38" i="2"/>
  <c r="V38" i="2"/>
  <c r="O38" i="2"/>
  <c r="N38" i="2"/>
  <c r="G38" i="2"/>
  <c r="F38" i="2"/>
  <c r="AL37" i="2"/>
  <c r="AK37" i="2"/>
  <c r="AE37" i="2"/>
  <c r="AD37" i="2"/>
  <c r="W37" i="2"/>
  <c r="V37" i="2"/>
  <c r="O37" i="2"/>
  <c r="N37" i="2"/>
  <c r="G37" i="2"/>
  <c r="F37" i="2"/>
  <c r="AL36" i="2"/>
  <c r="AK36" i="2"/>
  <c r="AE36" i="2"/>
  <c r="AD36" i="2"/>
  <c r="W36" i="2"/>
  <c r="V36" i="2"/>
  <c r="O36" i="2"/>
  <c r="N36" i="2"/>
  <c r="G36" i="2"/>
  <c r="F36" i="2"/>
  <c r="AL35" i="2"/>
  <c r="AK35" i="2"/>
  <c r="AE35" i="2"/>
  <c r="AD35" i="2"/>
  <c r="W35" i="2"/>
  <c r="V35" i="2"/>
  <c r="O35" i="2"/>
  <c r="N35" i="2"/>
  <c r="G35" i="2"/>
  <c r="F35" i="2"/>
  <c r="AL34" i="2"/>
  <c r="AK34" i="2"/>
  <c r="AE34" i="2"/>
  <c r="AD34" i="2"/>
  <c r="W34" i="2"/>
  <c r="V34" i="2"/>
  <c r="O34" i="2"/>
  <c r="N34" i="2"/>
  <c r="G34" i="2"/>
  <c r="F34" i="2"/>
  <c r="AL33" i="2"/>
  <c r="AK33" i="2"/>
  <c r="AE33" i="2"/>
  <c r="AD33" i="2"/>
  <c r="W33" i="2"/>
  <c r="V33" i="2"/>
  <c r="O33" i="2"/>
  <c r="N33" i="2"/>
  <c r="G33" i="2"/>
  <c r="F33" i="2"/>
  <c r="AL32" i="2"/>
  <c r="AK32" i="2"/>
  <c r="AE32" i="2"/>
  <c r="AD32" i="2"/>
  <c r="W32" i="2"/>
  <c r="V32" i="2"/>
  <c r="O32" i="2"/>
  <c r="N32" i="2"/>
  <c r="G32" i="2"/>
  <c r="F32" i="2"/>
  <c r="AL31" i="2"/>
  <c r="AK31" i="2"/>
  <c r="AE31" i="2"/>
  <c r="AD31" i="2"/>
  <c r="W31" i="2"/>
  <c r="V31" i="2"/>
  <c r="O31" i="2"/>
  <c r="N31" i="2"/>
  <c r="G31" i="2"/>
  <c r="F31" i="2"/>
  <c r="AL30" i="2"/>
  <c r="AK30" i="2"/>
  <c r="AE30" i="2"/>
  <c r="AD30" i="2"/>
  <c r="W30" i="2"/>
  <c r="V30" i="2"/>
  <c r="O30" i="2"/>
  <c r="N30" i="2"/>
  <c r="G30" i="2"/>
  <c r="F30" i="2"/>
  <c r="AL29" i="2"/>
  <c r="AK29" i="2"/>
  <c r="AE29" i="2"/>
  <c r="AD29" i="2"/>
  <c r="W29" i="2"/>
  <c r="V29" i="2"/>
  <c r="O29" i="2"/>
  <c r="N29" i="2"/>
  <c r="G29" i="2"/>
  <c r="F29" i="2"/>
  <c r="AO28" i="2"/>
  <c r="AL28" i="2"/>
  <c r="AK28" i="2"/>
  <c r="AE28" i="2"/>
  <c r="AD28" i="2"/>
  <c r="W28" i="2"/>
  <c r="V28" i="2"/>
  <c r="O28" i="2"/>
  <c r="N28" i="2"/>
  <c r="G28" i="2"/>
  <c r="F28" i="2"/>
  <c r="AO27" i="2"/>
  <c r="AL27" i="2"/>
  <c r="AK27" i="2"/>
  <c r="AE27" i="2"/>
  <c r="AD27" i="2"/>
  <c r="W27" i="2"/>
  <c r="V27" i="2"/>
  <c r="O27" i="2"/>
  <c r="N27" i="2"/>
  <c r="G27" i="2"/>
  <c r="F27" i="2"/>
  <c r="AO26" i="2"/>
  <c r="AL26" i="2"/>
  <c r="AK26" i="2"/>
  <c r="AE26" i="2"/>
  <c r="AD26" i="2"/>
  <c r="W26" i="2"/>
  <c r="V26" i="2"/>
  <c r="O26" i="2"/>
  <c r="N26" i="2"/>
  <c r="G26" i="2"/>
  <c r="F26" i="2"/>
  <c r="AO25" i="2"/>
  <c r="AL25" i="2"/>
  <c r="AK25" i="2"/>
  <c r="AE25" i="2"/>
  <c r="AD25" i="2"/>
  <c r="W25" i="2"/>
  <c r="V25" i="2"/>
  <c r="O25" i="2"/>
  <c r="N25" i="2"/>
  <c r="G25" i="2"/>
  <c r="F25" i="2"/>
  <c r="AL24" i="2"/>
  <c r="AK24" i="2"/>
  <c r="AE24" i="2"/>
  <c r="AD24" i="2"/>
  <c r="W24" i="2"/>
  <c r="V24" i="2"/>
  <c r="O24" i="2"/>
  <c r="N24" i="2"/>
  <c r="G24" i="2"/>
  <c r="F24" i="2"/>
  <c r="AL23" i="2"/>
  <c r="AK23" i="2"/>
  <c r="AE23" i="2"/>
  <c r="AD23" i="2"/>
  <c r="W23" i="2"/>
  <c r="V23" i="2"/>
  <c r="O23" i="2"/>
  <c r="N23" i="2"/>
  <c r="G23" i="2"/>
  <c r="F23" i="2"/>
  <c r="AL22" i="2"/>
  <c r="AK22" i="2"/>
  <c r="AE22" i="2"/>
  <c r="AD22" i="2"/>
  <c r="W22" i="2"/>
  <c r="V22" i="2"/>
  <c r="O22" i="2"/>
  <c r="N22" i="2"/>
  <c r="G22" i="2"/>
  <c r="F22" i="2"/>
  <c r="AL21" i="2"/>
  <c r="AK21" i="2"/>
  <c r="AE21" i="2"/>
  <c r="AD21" i="2"/>
  <c r="W21" i="2"/>
  <c r="V21" i="2"/>
  <c r="O21" i="2"/>
  <c r="N21" i="2"/>
  <c r="G21" i="2"/>
  <c r="F21" i="2"/>
  <c r="AO20" i="2"/>
  <c r="AL20" i="2"/>
  <c r="AK20" i="2"/>
  <c r="AE20" i="2"/>
  <c r="AD20" i="2"/>
  <c r="W20" i="2"/>
  <c r="V20" i="2"/>
  <c r="O20" i="2"/>
  <c r="N20" i="2"/>
  <c r="G20" i="2"/>
  <c r="F20" i="2"/>
  <c r="AP19" i="2"/>
  <c r="AO19" i="2"/>
  <c r="AL19" i="2"/>
  <c r="AK19" i="2"/>
  <c r="AE19" i="2"/>
  <c r="AD19" i="2"/>
  <c r="W19" i="2"/>
  <c r="V19" i="2"/>
  <c r="O19" i="2"/>
  <c r="N19" i="2"/>
  <c r="G19" i="2"/>
  <c r="F19" i="2"/>
  <c r="AL18" i="2"/>
  <c r="AK18" i="2"/>
  <c r="AE18" i="2"/>
  <c r="AD18" i="2"/>
  <c r="W18" i="2"/>
  <c r="V18" i="2"/>
  <c r="O18" i="2"/>
  <c r="N18" i="2"/>
  <c r="G18" i="2"/>
  <c r="F18" i="2"/>
  <c r="AL17" i="2"/>
  <c r="AK17" i="2"/>
  <c r="AE17" i="2"/>
  <c r="AD17" i="2"/>
  <c r="W17" i="2"/>
  <c r="V17" i="2"/>
  <c r="O17" i="2"/>
  <c r="N17" i="2"/>
  <c r="G17" i="2"/>
  <c r="F17" i="2"/>
  <c r="AL16" i="2"/>
  <c r="AK16" i="2"/>
  <c r="AE16" i="2"/>
  <c r="AD16" i="2"/>
  <c r="W16" i="2"/>
  <c r="V16" i="2"/>
  <c r="O16" i="2"/>
  <c r="N16" i="2"/>
  <c r="G16" i="2"/>
  <c r="F16" i="2"/>
  <c r="AL15" i="2"/>
  <c r="AK15" i="2"/>
  <c r="AE15" i="2"/>
  <c r="AD15" i="2"/>
  <c r="W15" i="2"/>
  <c r="V15" i="2"/>
  <c r="O15" i="2"/>
  <c r="N15" i="2"/>
  <c r="G15" i="2"/>
  <c r="F15" i="2"/>
  <c r="AL14" i="2"/>
  <c r="AK14" i="2"/>
  <c r="AE14" i="2"/>
  <c r="AD14" i="2"/>
  <c r="W14" i="2"/>
  <c r="V14" i="2"/>
  <c r="O14" i="2"/>
  <c r="N14" i="2"/>
  <c r="G14" i="2"/>
  <c r="F14" i="2"/>
  <c r="AT13" i="2"/>
  <c r="AL13" i="2"/>
  <c r="AK13" i="2"/>
  <c r="AE13" i="2"/>
  <c r="AD13" i="2"/>
  <c r="W13" i="2"/>
  <c r="V13" i="2"/>
  <c r="O13" i="2"/>
  <c r="N13" i="2"/>
  <c r="G13" i="2"/>
  <c r="F13" i="2"/>
  <c r="AT12" i="2"/>
  <c r="AL12" i="2"/>
  <c r="AK12" i="2"/>
  <c r="AE12" i="2"/>
  <c r="AD12" i="2"/>
  <c r="W12" i="2"/>
  <c r="V12" i="2"/>
  <c r="O12" i="2"/>
  <c r="N12" i="2"/>
  <c r="G12" i="2"/>
  <c r="F12" i="2"/>
  <c r="AT11" i="2"/>
  <c r="AL11" i="2"/>
  <c r="AK11" i="2"/>
  <c r="AE11" i="2"/>
  <c r="AD11" i="2"/>
  <c r="W11" i="2"/>
  <c r="V11" i="2"/>
  <c r="O11" i="2"/>
  <c r="N11" i="2"/>
  <c r="G11" i="2"/>
  <c r="F11" i="2"/>
  <c r="AT10" i="2"/>
  <c r="AL10" i="2"/>
  <c r="AK10" i="2"/>
  <c r="AE10" i="2"/>
  <c r="AD10" i="2"/>
  <c r="W10" i="2"/>
  <c r="V10" i="2"/>
  <c r="O10" i="2"/>
  <c r="N10" i="2"/>
  <c r="G10" i="2"/>
  <c r="F10" i="2"/>
  <c r="AT9" i="2"/>
  <c r="AL9" i="2"/>
  <c r="AK9" i="2"/>
  <c r="AE9" i="2"/>
  <c r="AD9" i="2"/>
  <c r="W9" i="2"/>
  <c r="V9" i="2"/>
  <c r="O9" i="2"/>
  <c r="N9" i="2"/>
  <c r="G9" i="2"/>
  <c r="F9" i="2"/>
  <c r="AT8" i="2"/>
  <c r="AL8" i="2"/>
  <c r="AK8" i="2"/>
  <c r="AE8" i="2"/>
  <c r="AD8" i="2"/>
  <c r="W8" i="2"/>
  <c r="V8" i="2"/>
  <c r="O8" i="2"/>
  <c r="N8" i="2"/>
  <c r="G8" i="2"/>
  <c r="F8" i="2"/>
  <c r="AT7" i="2"/>
  <c r="AL7" i="2"/>
  <c r="AK7" i="2"/>
  <c r="AE7" i="2"/>
  <c r="AD7" i="2"/>
  <c r="W7" i="2"/>
  <c r="V7" i="2"/>
  <c r="O7" i="2"/>
  <c r="N7" i="2"/>
  <c r="G7" i="2"/>
  <c r="F7" i="2"/>
  <c r="AT6" i="2"/>
  <c r="AL6" i="2"/>
  <c r="AK6" i="2"/>
  <c r="AE6" i="2"/>
  <c r="AD6" i="2"/>
  <c r="W6" i="2"/>
  <c r="V6" i="2"/>
  <c r="O6" i="2"/>
  <c r="N6" i="2"/>
  <c r="G6" i="2"/>
  <c r="F6" i="2"/>
  <c r="AT5" i="2"/>
  <c r="AL5" i="2"/>
  <c r="AK5" i="2"/>
  <c r="AE5" i="2"/>
  <c r="AD5" i="2"/>
  <c r="W5" i="2"/>
  <c r="V5" i="2"/>
  <c r="O5" i="2"/>
  <c r="N5" i="2"/>
  <c r="G5" i="2"/>
  <c r="F5" i="2"/>
  <c r="AT4" i="2"/>
  <c r="AL4" i="2"/>
  <c r="AK4" i="2"/>
  <c r="AE4" i="2"/>
  <c r="AD4" i="2"/>
  <c r="W4" i="2"/>
  <c r="V4" i="2"/>
  <c r="O4" i="2"/>
  <c r="N4" i="2"/>
  <c r="G4" i="2"/>
  <c r="F4" i="2"/>
  <c r="AL51" i="14" l="1"/>
  <c r="AM46" i="14"/>
  <c r="AM51" i="14" s="1"/>
  <c r="AL48" i="14"/>
  <c r="AM20" i="14"/>
  <c r="AM48" i="14" s="1"/>
  <c r="AM19" i="14"/>
  <c r="AL19" i="14"/>
  <c r="AG64" i="14"/>
  <c r="AG48" i="14"/>
  <c r="AH20" i="14"/>
  <c r="AH48" i="14" s="1"/>
  <c r="AP27" i="14"/>
  <c r="AH44" i="14"/>
  <c r="AH51" i="14" s="1"/>
  <c r="AL60" i="14"/>
  <c r="AM60" i="14" s="1"/>
  <c r="AH57" i="14"/>
  <c r="AL57" i="14" s="1"/>
  <c r="AM57" i="14" s="1"/>
  <c r="AL56" i="14"/>
  <c r="AG62" i="14"/>
  <c r="AH19" i="14"/>
  <c r="AG19" i="14"/>
  <c r="Y62" i="14"/>
  <c r="Z64" i="14"/>
  <c r="Y64" i="14"/>
  <c r="Z62" i="14"/>
  <c r="Z46" i="14"/>
  <c r="Z51" i="14" s="1"/>
  <c r="Z47" i="14"/>
  <c r="Z52" i="14" s="1"/>
  <c r="AP52" i="14" s="1"/>
  <c r="AU9" i="14" s="1"/>
  <c r="Z48" i="14"/>
  <c r="Y19" i="14"/>
  <c r="Y48" i="14"/>
  <c r="Z4" i="14"/>
  <c r="Z19" i="14" s="1"/>
  <c r="Q51" i="14"/>
  <c r="AP48" i="14" s="1"/>
  <c r="AU6" i="14" s="1"/>
  <c r="R51" i="14"/>
  <c r="Q64" i="14"/>
  <c r="Q62" i="14"/>
  <c r="R60" i="14"/>
  <c r="AP62" i="14" s="1"/>
  <c r="AP61" i="14"/>
  <c r="AU12" i="14" s="1"/>
  <c r="R64" i="14"/>
  <c r="Q52" i="14"/>
  <c r="AP51" i="14" s="1"/>
  <c r="AU8" i="14" s="1"/>
  <c r="R48" i="14"/>
  <c r="Q48" i="14"/>
  <c r="AP26" i="14"/>
  <c r="AP25" i="14"/>
  <c r="Q19" i="14"/>
  <c r="R11" i="14"/>
  <c r="R19" i="14" s="1"/>
  <c r="AL50" i="14" l="1"/>
  <c r="AM50" i="14"/>
  <c r="AG50" i="14"/>
  <c r="AH50" i="14"/>
  <c r="AH64" i="14"/>
  <c r="AP59" i="14" s="1"/>
  <c r="AU11" i="14" s="1"/>
  <c r="AH62" i="14"/>
  <c r="AL62" i="14"/>
  <c r="AM56" i="14"/>
  <c r="AL64" i="14"/>
  <c r="AP49" i="14"/>
  <c r="AU7" i="14" s="1"/>
  <c r="AP58" i="14"/>
  <c r="AT58" i="14" s="1"/>
  <c r="Z50" i="14"/>
  <c r="Y50" i="14"/>
  <c r="R50" i="14"/>
  <c r="AP28" i="14"/>
  <c r="R62" i="14"/>
  <c r="AQ61" i="14"/>
  <c r="AU13" i="14"/>
  <c r="AQ51" i="14"/>
  <c r="Q50" i="14"/>
  <c r="AK50" i="14" l="1"/>
  <c r="AF50" i="14"/>
  <c r="AM62" i="14"/>
  <c r="AM64" i="14"/>
  <c r="AQ48" i="14"/>
  <c r="AU10" i="14"/>
  <c r="AQ58" i="14"/>
  <c r="AP19" i="14"/>
  <c r="AU4" i="14" s="1"/>
  <c r="X50" i="14"/>
  <c r="S50" i="14"/>
  <c r="AP20" i="14"/>
  <c r="AU5" i="14" s="1"/>
  <c r="AR22" i="14" l="1"/>
  <c r="AQ19" i="14"/>
  <c r="AP66" i="14"/>
</calcChain>
</file>

<file path=xl/sharedStrings.xml><?xml version="1.0" encoding="utf-8"?>
<sst xmlns="http://schemas.openxmlformats.org/spreadsheetml/2006/main" count="3189" uniqueCount="78">
  <si>
    <t>30…0.</t>
  </si>
  <si>
    <t>VENTA TOTAL</t>
  </si>
  <si>
    <t>TOTAL MAIZ</t>
  </si>
  <si>
    <t>VALOR M.</t>
  </si>
  <si>
    <t>TRIGO</t>
  </si>
  <si>
    <t>SOYA</t>
  </si>
  <si>
    <t>MAIZ INTEGRAL</t>
  </si>
  <si>
    <t>MAIZ</t>
  </si>
  <si>
    <t>MAIZ REFINADO</t>
  </si>
  <si>
    <t>MAIZ ENTERO</t>
  </si>
  <si>
    <t>MAIZ PARTIDO</t>
  </si>
  <si>
    <t>MONTO</t>
  </si>
  <si>
    <t>TOTAL</t>
  </si>
  <si>
    <t>ALIMENTO</t>
  </si>
  <si>
    <t>AFRECHO</t>
  </si>
  <si>
    <t>VITAOVO</t>
  </si>
  <si>
    <t xml:space="preserve">TOTAL </t>
  </si>
  <si>
    <t>VITAOVO SIMPLE</t>
  </si>
  <si>
    <t>VITAOVO CARNE</t>
  </si>
  <si>
    <t>VITAOVO ANA</t>
  </si>
  <si>
    <t>POSTURA POLVO</t>
  </si>
  <si>
    <t>ENG CERDO</t>
  </si>
  <si>
    <t>CTO CERDO</t>
  </si>
  <si>
    <t>CERDO MANTTO</t>
  </si>
  <si>
    <t>ENG CON. POLLO</t>
  </si>
  <si>
    <t xml:space="preserve">CTO CON. POLLO </t>
  </si>
  <si>
    <t>GRANJA X 50 KG</t>
  </si>
  <si>
    <t>GRANJA X 40 KG</t>
  </si>
  <si>
    <t>CTO SIMPLE</t>
  </si>
  <si>
    <t>ENG SIMPLE</t>
  </si>
  <si>
    <t>VERDE PROVINCIA</t>
  </si>
  <si>
    <t>ROJO PROVINCIA</t>
  </si>
  <si>
    <t>POSTURA ECO.</t>
  </si>
  <si>
    <t>POSTURA</t>
  </si>
  <si>
    <t>CONEJO VITA</t>
  </si>
  <si>
    <t>CUY VITA</t>
  </si>
  <si>
    <t>POLLON INICIO</t>
  </si>
  <si>
    <t>PRE AMARILLO</t>
  </si>
  <si>
    <t>POLLON CTO</t>
  </si>
  <si>
    <t>INICIO AMARILLO</t>
  </si>
  <si>
    <t>POLLON</t>
  </si>
  <si>
    <t>ENG AMARILLO</t>
  </si>
  <si>
    <t>LINEA GALLO</t>
  </si>
  <si>
    <t>CTO AMARILLO</t>
  </si>
  <si>
    <t>PRE BLANCO</t>
  </si>
  <si>
    <t>INICIO BLANCO</t>
  </si>
  <si>
    <t>ENG BLANCO</t>
  </si>
  <si>
    <t>CTO BLANCO</t>
  </si>
  <si>
    <t>ALIMENTOS</t>
  </si>
  <si>
    <t>CTO ANA</t>
  </si>
  <si>
    <t>DORIMICYN</t>
  </si>
  <si>
    <t>MAIZ B12</t>
  </si>
  <si>
    <t>INICIO POLLON</t>
  </si>
  <si>
    <t>CTO POLLON</t>
  </si>
  <si>
    <t>ROJO</t>
  </si>
  <si>
    <t>VERDE</t>
  </si>
  <si>
    <t>CON CUY</t>
  </si>
  <si>
    <t>CON POLLO</t>
  </si>
  <si>
    <t>CUY</t>
  </si>
  <si>
    <t>CONEJO</t>
  </si>
  <si>
    <t>INICIO CARNE</t>
  </si>
  <si>
    <t>CTO CARNE</t>
  </si>
  <si>
    <t>ENG CARNE</t>
  </si>
  <si>
    <t>SUB TOTAL</t>
  </si>
  <si>
    <t>MES : ENERO</t>
  </si>
  <si>
    <t>-</t>
  </si>
  <si>
    <t xml:space="preserve"> </t>
  </si>
  <si>
    <t xml:space="preserve">  </t>
  </si>
  <si>
    <t>MES : MARZO</t>
  </si>
  <si>
    <t>MES : FEBRERO</t>
  </si>
  <si>
    <t>MES : ABRIL</t>
  </si>
  <si>
    <t>MES : MAYO</t>
  </si>
  <si>
    <t xml:space="preserve">       </t>
  </si>
  <si>
    <t>MES : JUNIO</t>
  </si>
  <si>
    <t>MES : JULIO</t>
  </si>
  <si>
    <t>.</t>
  </si>
  <si>
    <t>MES : SEPTIEMBRE</t>
  </si>
  <si>
    <t>MES :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</si>
</sst>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5E78F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3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44" fontId="2" fillId="2" borderId="0" xfId="0" applyNumberFormat="1" applyFont="1" applyFill="1"/>
    <xf numFmtId="0" fontId="2" fillId="3" borderId="0" xfId="0" applyFont="1" applyFill="1" applyAlignment="1">
      <alignment horizontal="center"/>
    </xf>
    <xf numFmtId="4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4" fontId="3" fillId="6" borderId="2" xfId="1" applyFont="1" applyFill="1" applyBorder="1"/>
    <xf numFmtId="0" fontId="4" fillId="7" borderId="1" xfId="0" applyFont="1" applyFill="1" applyBorder="1"/>
    <xf numFmtId="44" fontId="0" fillId="8" borderId="1" xfId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/>
    </xf>
    <xf numFmtId="44" fontId="5" fillId="0" borderId="0" xfId="0" applyNumberFormat="1" applyFont="1"/>
    <xf numFmtId="0" fontId="5" fillId="6" borderId="1" xfId="0" applyFont="1" applyFill="1" applyBorder="1" applyAlignment="1">
      <alignment horizontal="center"/>
    </xf>
    <xf numFmtId="0" fontId="4" fillId="7" borderId="3" xfId="0" applyFont="1" applyFill="1" applyBorder="1"/>
    <xf numFmtId="44" fontId="0" fillId="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9" borderId="1" xfId="0" applyFont="1" applyFill="1" applyBorder="1"/>
    <xf numFmtId="44" fontId="3" fillId="10" borderId="1" xfId="1" applyFont="1" applyFill="1" applyBorder="1"/>
    <xf numFmtId="0" fontId="4" fillId="11" borderId="1" xfId="0" applyFont="1" applyFill="1" applyBorder="1"/>
    <xf numFmtId="0" fontId="0" fillId="0" borderId="1" xfId="0" quotePrefix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6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44" fontId="3" fillId="14" borderId="1" xfId="1" applyFont="1" applyFill="1" applyBorder="1"/>
    <xf numFmtId="0" fontId="3" fillId="15" borderId="1" xfId="0" applyFont="1" applyFill="1" applyBorder="1" applyAlignment="1">
      <alignment horizontal="center"/>
    </xf>
    <xf numFmtId="44" fontId="3" fillId="4" borderId="1" xfId="1" applyFont="1" applyFill="1" applyBorder="1"/>
    <xf numFmtId="0" fontId="2" fillId="16" borderId="1" xfId="0" applyFont="1" applyFill="1" applyBorder="1"/>
    <xf numFmtId="44" fontId="0" fillId="0" borderId="0" xfId="0" applyNumberFormat="1"/>
    <xf numFmtId="0" fontId="5" fillId="14" borderId="1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44" fontId="3" fillId="17" borderId="1" xfId="1" applyFont="1" applyFill="1" applyBorder="1"/>
    <xf numFmtId="0" fontId="3" fillId="18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" fontId="5" fillId="17" borderId="1" xfId="0" applyNumberFormat="1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3" fillId="0" borderId="0" xfId="1" applyFont="1" applyFill="1" applyBorder="1"/>
    <xf numFmtId="0" fontId="4" fillId="0" borderId="0" xfId="0" applyFont="1"/>
    <xf numFmtId="0" fontId="2" fillId="19" borderId="1" xfId="0" applyFont="1" applyFill="1" applyBorder="1"/>
    <xf numFmtId="0" fontId="2" fillId="20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21" borderId="1" xfId="0" applyFont="1" applyFill="1" applyBorder="1"/>
    <xf numFmtId="44" fontId="3" fillId="22" borderId="1" xfId="1" applyFont="1" applyFill="1" applyBorder="1"/>
    <xf numFmtId="0" fontId="3" fillId="23" borderId="1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44" fontId="2" fillId="3" borderId="1" xfId="0" applyNumberFormat="1" applyFont="1" applyFill="1" applyBorder="1" applyAlignment="1">
      <alignment horizontal="center"/>
    </xf>
    <xf numFmtId="44" fontId="2" fillId="3" borderId="0" xfId="0" applyNumberFormat="1" applyFont="1" applyFill="1" applyAlignment="1">
      <alignment horizontal="center"/>
    </xf>
    <xf numFmtId="44" fontId="2" fillId="24" borderId="0" xfId="0" applyNumberFormat="1" applyFont="1" applyFill="1" applyAlignment="1">
      <alignment horizontal="center"/>
    </xf>
    <xf numFmtId="0" fontId="2" fillId="24" borderId="1" xfId="0" applyFont="1" applyFill="1" applyBorder="1"/>
    <xf numFmtId="0" fontId="2" fillId="2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4" fillId="2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7" borderId="1" xfId="0" quotePrefix="1" applyFill="1" applyBorder="1" applyAlignment="1">
      <alignment horizontal="center"/>
    </xf>
    <xf numFmtId="44" fontId="3" fillId="28" borderId="0" xfId="1" applyFont="1" applyFill="1" applyBorder="1"/>
    <xf numFmtId="0" fontId="0" fillId="27" borderId="0" xfId="0" applyFill="1"/>
    <xf numFmtId="0" fontId="3" fillId="20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13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A6CB-FDE4-44AE-9AD6-CAAB78FFB40E}">
  <dimension ref="B3:AT1964"/>
  <sheetViews>
    <sheetView zoomScale="115" zoomScaleNormal="115" workbookViewId="0">
      <pane xSplit="2" ySplit="3" topLeftCell="AI4" activePane="bottomRight" state="frozen"/>
      <selection pane="topRight" activeCell="C1" sqref="C1"/>
      <selection pane="bottomLeft" activeCell="A4" sqref="A4"/>
      <selection pane="bottomRight" activeCell="AL59" sqref="AL59"/>
    </sheetView>
  </sheetViews>
  <sheetFormatPr baseColWidth="10" defaultRowHeight="14.4" x14ac:dyDescent="0.3"/>
  <cols>
    <col min="1" max="1" width="5.6640625" customWidth="1"/>
    <col min="2" max="2" width="18.33203125" customWidth="1"/>
    <col min="6" max="6" width="13.33203125" customWidth="1"/>
    <col min="7" max="7" width="17.109375" customWidth="1"/>
    <col min="13" max="13" width="11.6640625" customWidth="1"/>
    <col min="14" max="14" width="13.33203125" customWidth="1"/>
    <col min="15" max="15" width="16" customWidth="1"/>
    <col min="22" max="22" width="13.33203125" customWidth="1"/>
    <col min="23" max="23" width="16.109375" customWidth="1"/>
    <col min="30" max="30" width="13.33203125" customWidth="1"/>
    <col min="31" max="31" width="16.109375" customWidth="1"/>
    <col min="37" max="37" width="13.33203125" customWidth="1"/>
    <col min="38" max="38" width="16.109375" customWidth="1"/>
    <col min="39" max="39" width="6.5546875" customWidth="1"/>
    <col min="40" max="40" width="15.33203125" customWidth="1"/>
    <col min="41" max="41" width="17.77734375" customWidth="1"/>
    <col min="42" max="42" width="13.88671875" customWidth="1"/>
    <col min="44" max="44" width="9.77734375" customWidth="1"/>
    <col min="45" max="45" width="17.109375" customWidth="1"/>
    <col min="46" max="46" width="16.77734375" customWidth="1"/>
  </cols>
  <sheetData>
    <row r="3" spans="2:46" s="22" customFormat="1" ht="13.8" customHeight="1" x14ac:dyDescent="0.3">
      <c r="B3" s="25" t="s">
        <v>13</v>
      </c>
      <c r="C3" s="24">
        <v>45659</v>
      </c>
      <c r="D3" s="24">
        <v>45660</v>
      </c>
      <c r="E3" s="24">
        <v>45661</v>
      </c>
      <c r="F3" s="23" t="s">
        <v>63</v>
      </c>
      <c r="G3" s="23" t="s">
        <v>11</v>
      </c>
      <c r="H3" s="24">
        <v>45663</v>
      </c>
      <c r="I3" s="24">
        <v>45664</v>
      </c>
      <c r="J3" s="24">
        <v>45665</v>
      </c>
      <c r="K3" s="24">
        <v>45666</v>
      </c>
      <c r="L3" s="24">
        <v>45667</v>
      </c>
      <c r="M3" s="24">
        <v>45668</v>
      </c>
      <c r="N3" s="23" t="s">
        <v>63</v>
      </c>
      <c r="O3" s="23" t="s">
        <v>11</v>
      </c>
      <c r="P3" s="24">
        <v>45670</v>
      </c>
      <c r="Q3" s="24">
        <v>45671</v>
      </c>
      <c r="R3" s="24">
        <v>45672</v>
      </c>
      <c r="S3" s="24">
        <v>45673</v>
      </c>
      <c r="T3" s="24">
        <v>45674</v>
      </c>
      <c r="U3" s="24">
        <v>45675</v>
      </c>
      <c r="V3" s="23" t="s">
        <v>63</v>
      </c>
      <c r="W3" s="23" t="s">
        <v>11</v>
      </c>
      <c r="X3" s="24">
        <v>45677</v>
      </c>
      <c r="Y3" s="24">
        <v>45678</v>
      </c>
      <c r="Z3" s="24">
        <v>45679</v>
      </c>
      <c r="AA3" s="24">
        <v>45680</v>
      </c>
      <c r="AB3" s="24">
        <v>45681</v>
      </c>
      <c r="AC3" s="24">
        <v>45682</v>
      </c>
      <c r="AD3" s="23" t="s">
        <v>63</v>
      </c>
      <c r="AE3" s="23" t="s">
        <v>11</v>
      </c>
      <c r="AF3" s="24">
        <v>45684</v>
      </c>
      <c r="AG3" s="24">
        <v>45685</v>
      </c>
      <c r="AH3" s="24">
        <v>45686</v>
      </c>
      <c r="AI3" s="24">
        <v>45687</v>
      </c>
      <c r="AJ3" s="24">
        <v>45688</v>
      </c>
      <c r="AK3" s="23" t="s">
        <v>63</v>
      </c>
      <c r="AL3" s="23" t="s">
        <v>11</v>
      </c>
      <c r="AS3" s="68" t="s">
        <v>64</v>
      </c>
      <c r="AT3" s="69"/>
    </row>
    <row r="4" spans="2:46" ht="15.6" customHeight="1" x14ac:dyDescent="0.3">
      <c r="B4" s="17" t="s">
        <v>62</v>
      </c>
      <c r="C4" s="16">
        <v>20</v>
      </c>
      <c r="D4" s="16">
        <v>50</v>
      </c>
      <c r="E4" s="16">
        <v>20</v>
      </c>
      <c r="F4" s="15">
        <f>SUM(C4:E4)</f>
        <v>90</v>
      </c>
      <c r="G4" s="14">
        <f>F4*60</f>
        <v>5400</v>
      </c>
      <c r="H4" s="61">
        <v>28</v>
      </c>
      <c r="I4" s="16">
        <v>22</v>
      </c>
      <c r="J4" s="16">
        <v>26</v>
      </c>
      <c r="K4" s="16">
        <v>48</v>
      </c>
      <c r="L4" s="16">
        <v>35</v>
      </c>
      <c r="M4" s="16">
        <v>41</v>
      </c>
      <c r="N4" s="15">
        <f>SUM(H4:M4)</f>
        <v>200</v>
      </c>
      <c r="O4" s="14">
        <f>N4*60</f>
        <v>12000</v>
      </c>
      <c r="P4" s="16">
        <v>5</v>
      </c>
      <c r="Q4" s="16">
        <v>58</v>
      </c>
      <c r="R4" s="16" t="s">
        <v>65</v>
      </c>
      <c r="S4" s="16">
        <v>13</v>
      </c>
      <c r="T4" s="16">
        <v>7</v>
      </c>
      <c r="U4" s="16">
        <v>10</v>
      </c>
      <c r="V4" s="15">
        <f>SUM(P4:U4)</f>
        <v>93</v>
      </c>
      <c r="W4" s="14">
        <f>V4*60</f>
        <v>5580</v>
      </c>
      <c r="X4" s="16">
        <v>20</v>
      </c>
      <c r="Y4" s="16">
        <v>91</v>
      </c>
      <c r="Z4" s="16">
        <v>16</v>
      </c>
      <c r="AA4" s="16">
        <v>46</v>
      </c>
      <c r="AB4" s="16">
        <v>43</v>
      </c>
      <c r="AC4" s="16" t="s">
        <v>65</v>
      </c>
      <c r="AD4" s="15">
        <f>SUM(X4:AC4)</f>
        <v>216</v>
      </c>
      <c r="AE4" s="14">
        <f>AD4*60</f>
        <v>12960</v>
      </c>
      <c r="AF4" s="16">
        <v>54</v>
      </c>
      <c r="AG4" s="16">
        <v>115</v>
      </c>
      <c r="AH4" s="16">
        <v>57</v>
      </c>
      <c r="AI4" s="16">
        <v>20</v>
      </c>
      <c r="AJ4" s="16">
        <v>20</v>
      </c>
      <c r="AK4" s="15">
        <f>SUM(AF4:AJ4)</f>
        <v>266</v>
      </c>
      <c r="AL4" s="14">
        <f>AK4*60</f>
        <v>15960</v>
      </c>
      <c r="AS4" s="60" t="s">
        <v>48</v>
      </c>
      <c r="AT4" s="48">
        <f>AO19</f>
        <v>5992</v>
      </c>
    </row>
    <row r="5" spans="2:46" ht="15.6" x14ac:dyDescent="0.3">
      <c r="B5" s="17" t="s">
        <v>61</v>
      </c>
      <c r="C5" s="16">
        <v>10</v>
      </c>
      <c r="D5" s="16">
        <v>67</v>
      </c>
      <c r="E5" s="16">
        <v>5</v>
      </c>
      <c r="F5" s="15">
        <f t="shared" ref="F5:F18" si="0">SUM(C5:E5)</f>
        <v>82</v>
      </c>
      <c r="G5" s="14">
        <f>F5*60</f>
        <v>4920</v>
      </c>
      <c r="H5" s="61">
        <v>5</v>
      </c>
      <c r="I5" s="16">
        <v>17</v>
      </c>
      <c r="J5" s="16">
        <v>19</v>
      </c>
      <c r="K5" s="16">
        <v>31</v>
      </c>
      <c r="L5" s="16">
        <v>43</v>
      </c>
      <c r="M5" s="16">
        <v>54</v>
      </c>
      <c r="N5" s="15">
        <f t="shared" ref="N5:N18" si="1">SUM(H5:M5)</f>
        <v>169</v>
      </c>
      <c r="O5" s="14">
        <f>N5*60</f>
        <v>10140</v>
      </c>
      <c r="P5" s="16">
        <v>13</v>
      </c>
      <c r="Q5" s="16">
        <v>44</v>
      </c>
      <c r="R5" s="16">
        <v>10</v>
      </c>
      <c r="S5" s="16">
        <v>38</v>
      </c>
      <c r="T5" s="16">
        <v>7</v>
      </c>
      <c r="U5" s="16">
        <v>10</v>
      </c>
      <c r="V5" s="15">
        <f t="shared" ref="V5:V18" si="2">SUM(P5:U5)</f>
        <v>122</v>
      </c>
      <c r="W5" s="14">
        <f>V5*60</f>
        <v>7320</v>
      </c>
      <c r="X5" s="16">
        <v>10</v>
      </c>
      <c r="Y5" s="16">
        <v>69</v>
      </c>
      <c r="Z5" s="16">
        <v>15</v>
      </c>
      <c r="AA5" s="16">
        <v>45</v>
      </c>
      <c r="AB5" s="16">
        <v>17</v>
      </c>
      <c r="AC5" s="16" t="s">
        <v>65</v>
      </c>
      <c r="AD5" s="15">
        <f t="shared" ref="AD5:AD18" si="3">SUM(X5:AC5)</f>
        <v>156</v>
      </c>
      <c r="AE5" s="14">
        <f>AD5*60</f>
        <v>9360</v>
      </c>
      <c r="AF5" s="16">
        <v>34</v>
      </c>
      <c r="AG5" s="16">
        <v>52</v>
      </c>
      <c r="AH5" s="16">
        <v>52</v>
      </c>
      <c r="AI5" s="16">
        <v>25</v>
      </c>
      <c r="AJ5" s="16">
        <v>10</v>
      </c>
      <c r="AK5" s="15">
        <f t="shared" ref="AK5:AK18" si="4">SUM(AF5:AJ5)</f>
        <v>173</v>
      </c>
      <c r="AL5" s="14">
        <f>AK5*60</f>
        <v>10380</v>
      </c>
      <c r="AS5" s="60" t="s">
        <v>3</v>
      </c>
      <c r="AT5" s="46">
        <f>AO20</f>
        <v>439146</v>
      </c>
    </row>
    <row r="6" spans="2:46" ht="15.6" x14ac:dyDescent="0.3">
      <c r="B6" s="17" t="s">
        <v>60</v>
      </c>
      <c r="C6" s="16" t="s">
        <v>65</v>
      </c>
      <c r="D6" s="16">
        <v>17</v>
      </c>
      <c r="E6" s="16">
        <v>5</v>
      </c>
      <c r="F6" s="15">
        <f t="shared" si="0"/>
        <v>22</v>
      </c>
      <c r="G6" s="14">
        <f>F6*61</f>
        <v>1342</v>
      </c>
      <c r="H6" s="61">
        <v>6</v>
      </c>
      <c r="I6" s="16">
        <v>28</v>
      </c>
      <c r="J6" s="16">
        <v>2</v>
      </c>
      <c r="K6" s="16">
        <v>18</v>
      </c>
      <c r="L6" s="16">
        <v>7</v>
      </c>
      <c r="M6" s="16">
        <v>8</v>
      </c>
      <c r="N6" s="15">
        <f t="shared" si="1"/>
        <v>69</v>
      </c>
      <c r="O6" s="14">
        <f>N6*61</f>
        <v>4209</v>
      </c>
      <c r="P6" s="16">
        <v>11</v>
      </c>
      <c r="Q6" s="16">
        <v>6</v>
      </c>
      <c r="R6" s="16"/>
      <c r="S6" s="16" t="s">
        <v>65</v>
      </c>
      <c r="T6" s="16" t="s">
        <v>65</v>
      </c>
      <c r="U6" s="16">
        <v>40</v>
      </c>
      <c r="V6" s="15">
        <f t="shared" si="2"/>
        <v>57</v>
      </c>
      <c r="W6" s="14">
        <f>V6*61</f>
        <v>3477</v>
      </c>
      <c r="X6" s="16">
        <v>16</v>
      </c>
      <c r="Y6" s="16">
        <v>27</v>
      </c>
      <c r="Z6" s="16">
        <v>10</v>
      </c>
      <c r="AA6" s="16">
        <v>1</v>
      </c>
      <c r="AB6" s="16">
        <v>22</v>
      </c>
      <c r="AC6" s="16">
        <v>10</v>
      </c>
      <c r="AD6" s="15">
        <f t="shared" si="3"/>
        <v>86</v>
      </c>
      <c r="AE6" s="14">
        <f>AD6*61</f>
        <v>5246</v>
      </c>
      <c r="AF6" s="16">
        <v>11</v>
      </c>
      <c r="AG6" s="16">
        <v>12</v>
      </c>
      <c r="AH6" s="16">
        <v>10</v>
      </c>
      <c r="AI6" s="16">
        <v>13</v>
      </c>
      <c r="AJ6" s="16">
        <v>10</v>
      </c>
      <c r="AK6" s="15">
        <f t="shared" si="4"/>
        <v>56</v>
      </c>
      <c r="AL6" s="14">
        <f>AK6*61</f>
        <v>3416</v>
      </c>
      <c r="AS6" s="59" t="s">
        <v>15</v>
      </c>
      <c r="AT6" s="37">
        <f>AO48</f>
        <v>793</v>
      </c>
    </row>
    <row r="7" spans="2:46" ht="15.6" x14ac:dyDescent="0.3">
      <c r="B7" s="17" t="s">
        <v>59</v>
      </c>
      <c r="C7" s="16" t="s">
        <v>65</v>
      </c>
      <c r="D7" s="16">
        <v>17</v>
      </c>
      <c r="E7" s="16">
        <v>41</v>
      </c>
      <c r="F7" s="15">
        <f t="shared" si="0"/>
        <v>58</v>
      </c>
      <c r="G7" s="14">
        <f>F7*60</f>
        <v>3480</v>
      </c>
      <c r="H7" s="61">
        <v>5</v>
      </c>
      <c r="I7" s="16">
        <v>10</v>
      </c>
      <c r="J7" s="16" t="s">
        <v>65</v>
      </c>
      <c r="K7" s="16">
        <v>41</v>
      </c>
      <c r="L7" s="16">
        <v>10</v>
      </c>
      <c r="M7" s="16">
        <v>12</v>
      </c>
      <c r="N7" s="15">
        <f t="shared" si="1"/>
        <v>78</v>
      </c>
      <c r="O7" s="14">
        <f>N7*60</f>
        <v>4680</v>
      </c>
      <c r="P7" s="16">
        <v>10</v>
      </c>
      <c r="Q7" s="16">
        <v>11</v>
      </c>
      <c r="R7" s="16"/>
      <c r="S7" s="16" t="s">
        <v>65</v>
      </c>
      <c r="T7" s="16">
        <v>1</v>
      </c>
      <c r="U7" s="16" t="s">
        <v>65</v>
      </c>
      <c r="V7" s="15">
        <f t="shared" si="2"/>
        <v>22</v>
      </c>
      <c r="W7" s="14">
        <f>V7*60</f>
        <v>1320</v>
      </c>
      <c r="X7" s="16">
        <v>5</v>
      </c>
      <c r="Y7" s="16">
        <v>31</v>
      </c>
      <c r="Z7" s="16">
        <v>6</v>
      </c>
      <c r="AA7" s="16">
        <v>30</v>
      </c>
      <c r="AB7" s="16">
        <v>28</v>
      </c>
      <c r="AC7" s="16">
        <v>15</v>
      </c>
      <c r="AD7" s="15">
        <f t="shared" si="3"/>
        <v>115</v>
      </c>
      <c r="AE7" s="14">
        <f>AD7*60</f>
        <v>6900</v>
      </c>
      <c r="AF7" s="16">
        <v>7</v>
      </c>
      <c r="AG7" s="16" t="s">
        <v>65</v>
      </c>
      <c r="AH7" s="16">
        <v>17</v>
      </c>
      <c r="AI7" s="16">
        <v>10</v>
      </c>
      <c r="AJ7" s="16">
        <v>34</v>
      </c>
      <c r="AK7" s="15">
        <f t="shared" si="4"/>
        <v>68</v>
      </c>
      <c r="AL7" s="14">
        <f>AK7*60</f>
        <v>4080</v>
      </c>
      <c r="AS7" s="59" t="s">
        <v>3</v>
      </c>
      <c r="AT7" s="34">
        <f>AO49</f>
        <v>82697</v>
      </c>
    </row>
    <row r="8" spans="2:46" ht="15.6" x14ac:dyDescent="0.3">
      <c r="B8" s="17" t="s">
        <v>58</v>
      </c>
      <c r="C8" s="16" t="s">
        <v>65</v>
      </c>
      <c r="D8" s="16">
        <v>20</v>
      </c>
      <c r="E8" s="16">
        <v>5</v>
      </c>
      <c r="F8" s="15">
        <f t="shared" si="0"/>
        <v>25</v>
      </c>
      <c r="G8" s="14">
        <f>F8*60</f>
        <v>1500</v>
      </c>
      <c r="H8" s="61" t="s">
        <v>65</v>
      </c>
      <c r="I8" s="16">
        <v>23</v>
      </c>
      <c r="J8" s="16" t="s">
        <v>65</v>
      </c>
      <c r="K8" s="16">
        <v>26</v>
      </c>
      <c r="L8" s="16">
        <v>34</v>
      </c>
      <c r="M8" s="16">
        <v>28</v>
      </c>
      <c r="N8" s="15">
        <f t="shared" si="1"/>
        <v>111</v>
      </c>
      <c r="O8" s="14">
        <f>N8*60</f>
        <v>6660</v>
      </c>
      <c r="P8" s="16">
        <v>1</v>
      </c>
      <c r="Q8" s="16">
        <v>15</v>
      </c>
      <c r="R8" s="16"/>
      <c r="S8" s="16">
        <v>6</v>
      </c>
      <c r="T8" s="16">
        <v>1</v>
      </c>
      <c r="U8" s="16" t="s">
        <v>65</v>
      </c>
      <c r="V8" s="15">
        <f t="shared" si="2"/>
        <v>23</v>
      </c>
      <c r="W8" s="14">
        <f>V8*60</f>
        <v>1380</v>
      </c>
      <c r="X8" s="16" t="s">
        <v>65</v>
      </c>
      <c r="Y8" s="16">
        <v>35</v>
      </c>
      <c r="Z8" s="16">
        <v>6</v>
      </c>
      <c r="AA8" s="16">
        <v>20</v>
      </c>
      <c r="AB8" s="16">
        <v>16</v>
      </c>
      <c r="AC8" s="16">
        <v>10</v>
      </c>
      <c r="AD8" s="15">
        <f t="shared" si="3"/>
        <v>87</v>
      </c>
      <c r="AE8" s="14">
        <f>AD8*60</f>
        <v>5220</v>
      </c>
      <c r="AF8" s="16">
        <v>8</v>
      </c>
      <c r="AG8" s="16" t="s">
        <v>65</v>
      </c>
      <c r="AH8" s="16">
        <v>12</v>
      </c>
      <c r="AI8" s="16">
        <v>15</v>
      </c>
      <c r="AJ8" s="16">
        <v>35</v>
      </c>
      <c r="AK8" s="15">
        <f t="shared" si="4"/>
        <v>70</v>
      </c>
      <c r="AL8" s="14">
        <f>AK8*60</f>
        <v>4200</v>
      </c>
      <c r="AS8" s="58" t="s">
        <v>14</v>
      </c>
      <c r="AT8" s="31">
        <f>AO51</f>
        <v>606</v>
      </c>
    </row>
    <row r="9" spans="2:46" ht="15.6" x14ac:dyDescent="0.3">
      <c r="B9" s="17" t="s">
        <v>57</v>
      </c>
      <c r="C9" s="20" t="s">
        <v>65</v>
      </c>
      <c r="D9" s="16">
        <v>23</v>
      </c>
      <c r="E9" s="16">
        <v>8</v>
      </c>
      <c r="F9" s="15">
        <f t="shared" si="0"/>
        <v>31</v>
      </c>
      <c r="G9" s="14">
        <f>F9*60</f>
        <v>1860</v>
      </c>
      <c r="H9" s="61">
        <v>18</v>
      </c>
      <c r="I9" s="16">
        <v>7</v>
      </c>
      <c r="J9" s="16">
        <v>3</v>
      </c>
      <c r="K9" s="20">
        <v>7</v>
      </c>
      <c r="L9" s="16">
        <v>15</v>
      </c>
      <c r="M9" s="16">
        <v>10</v>
      </c>
      <c r="N9" s="15">
        <f t="shared" si="1"/>
        <v>60</v>
      </c>
      <c r="O9" s="14">
        <f>N9*60</f>
        <v>3600</v>
      </c>
      <c r="P9" s="16">
        <v>1</v>
      </c>
      <c r="Q9" s="16">
        <v>2</v>
      </c>
      <c r="R9" s="16"/>
      <c r="S9" s="16">
        <v>2</v>
      </c>
      <c r="T9" s="16">
        <v>2</v>
      </c>
      <c r="U9" s="16" t="s">
        <v>65</v>
      </c>
      <c r="V9" s="15">
        <f t="shared" si="2"/>
        <v>7</v>
      </c>
      <c r="W9" s="14">
        <f>V9*60</f>
        <v>420</v>
      </c>
      <c r="X9" s="16">
        <v>21</v>
      </c>
      <c r="Y9" s="16">
        <v>4</v>
      </c>
      <c r="Z9" s="16">
        <v>7</v>
      </c>
      <c r="AA9" s="16" t="s">
        <v>65</v>
      </c>
      <c r="AB9" s="16">
        <v>13</v>
      </c>
      <c r="AC9" s="16" t="s">
        <v>65</v>
      </c>
      <c r="AD9" s="15">
        <f t="shared" si="3"/>
        <v>45</v>
      </c>
      <c r="AE9" s="14">
        <f>AD9*60</f>
        <v>2700</v>
      </c>
      <c r="AF9" s="16">
        <v>12</v>
      </c>
      <c r="AG9" s="16">
        <v>7</v>
      </c>
      <c r="AH9" s="16">
        <v>35</v>
      </c>
      <c r="AI9" s="16">
        <v>10</v>
      </c>
      <c r="AJ9" s="16">
        <v>20</v>
      </c>
      <c r="AK9" s="15">
        <f t="shared" si="4"/>
        <v>84</v>
      </c>
      <c r="AL9" s="14">
        <f>AK9*60</f>
        <v>5040</v>
      </c>
      <c r="AS9" s="58" t="s">
        <v>3</v>
      </c>
      <c r="AT9" s="26">
        <f>AO52</f>
        <v>35148</v>
      </c>
    </row>
    <row r="10" spans="2:46" ht="15.6" x14ac:dyDescent="0.3">
      <c r="B10" s="17" t="s">
        <v>56</v>
      </c>
      <c r="C10" s="16">
        <v>6</v>
      </c>
      <c r="D10" s="16">
        <v>5</v>
      </c>
      <c r="E10" s="16">
        <v>15</v>
      </c>
      <c r="F10" s="15">
        <f t="shared" si="0"/>
        <v>26</v>
      </c>
      <c r="G10" s="14">
        <f>F10*60</f>
        <v>1560</v>
      </c>
      <c r="H10" s="61">
        <v>1</v>
      </c>
      <c r="I10" s="16">
        <v>15</v>
      </c>
      <c r="J10" s="16" t="s">
        <v>65</v>
      </c>
      <c r="K10" s="16">
        <v>21</v>
      </c>
      <c r="L10" s="16">
        <v>14</v>
      </c>
      <c r="M10" s="16" t="s">
        <v>65</v>
      </c>
      <c r="N10" s="15">
        <f t="shared" si="1"/>
        <v>51</v>
      </c>
      <c r="O10" s="14">
        <f>N10*60</f>
        <v>3060</v>
      </c>
      <c r="P10" s="16" t="s">
        <v>65</v>
      </c>
      <c r="Q10" s="16" t="s">
        <v>65</v>
      </c>
      <c r="R10" s="16"/>
      <c r="S10" s="16" t="s">
        <v>65</v>
      </c>
      <c r="T10" s="16">
        <v>11</v>
      </c>
      <c r="U10" s="16">
        <v>9</v>
      </c>
      <c r="V10" s="15">
        <f t="shared" si="2"/>
        <v>20</v>
      </c>
      <c r="W10" s="14">
        <f>V10*60</f>
        <v>1200</v>
      </c>
      <c r="X10" s="16">
        <v>11</v>
      </c>
      <c r="Y10" s="16">
        <v>22</v>
      </c>
      <c r="Z10" s="16">
        <v>15</v>
      </c>
      <c r="AA10" s="16" t="s">
        <v>65</v>
      </c>
      <c r="AB10" s="16">
        <v>11</v>
      </c>
      <c r="AC10" s="16" t="s">
        <v>65</v>
      </c>
      <c r="AD10" s="15">
        <f t="shared" si="3"/>
        <v>59</v>
      </c>
      <c r="AE10" s="14">
        <f>AD10*60</f>
        <v>3540</v>
      </c>
      <c r="AF10" s="16">
        <v>3</v>
      </c>
      <c r="AG10" s="16">
        <v>2</v>
      </c>
      <c r="AH10" s="16">
        <v>11</v>
      </c>
      <c r="AI10" s="16" t="s">
        <v>65</v>
      </c>
      <c r="AJ10" s="16">
        <v>36</v>
      </c>
      <c r="AK10" s="15">
        <f t="shared" si="4"/>
        <v>52</v>
      </c>
      <c r="AL10" s="14">
        <f>AK10*60</f>
        <v>3120</v>
      </c>
      <c r="AS10" s="57" t="s">
        <v>7</v>
      </c>
      <c r="AT10" s="21">
        <f>AO58</f>
        <v>10227</v>
      </c>
    </row>
    <row r="11" spans="2:46" ht="15.6" x14ac:dyDescent="0.3">
      <c r="B11" s="17" t="s">
        <v>55</v>
      </c>
      <c r="C11" s="16" t="s">
        <v>65</v>
      </c>
      <c r="D11" s="16">
        <v>3</v>
      </c>
      <c r="E11" s="16" t="s">
        <v>65</v>
      </c>
      <c r="F11" s="15">
        <f t="shared" si="0"/>
        <v>3</v>
      </c>
      <c r="G11" s="14">
        <f>F11*65</f>
        <v>195</v>
      </c>
      <c r="H11" s="61" t="s">
        <v>65</v>
      </c>
      <c r="I11" s="16">
        <v>30</v>
      </c>
      <c r="J11" s="16">
        <v>1</v>
      </c>
      <c r="K11" s="16">
        <v>4</v>
      </c>
      <c r="L11" s="16">
        <v>2</v>
      </c>
      <c r="M11" s="16">
        <v>3</v>
      </c>
      <c r="N11" s="15">
        <f t="shared" si="1"/>
        <v>40</v>
      </c>
      <c r="O11" s="14">
        <f>N11*65</f>
        <v>2600</v>
      </c>
      <c r="P11" s="16" t="s">
        <v>65</v>
      </c>
      <c r="Q11" s="16" t="s">
        <v>65</v>
      </c>
      <c r="R11" s="16">
        <v>1</v>
      </c>
      <c r="S11" s="16">
        <v>3</v>
      </c>
      <c r="T11" s="16">
        <v>2</v>
      </c>
      <c r="U11" s="16" t="s">
        <v>65</v>
      </c>
      <c r="V11" s="15">
        <f t="shared" si="2"/>
        <v>6</v>
      </c>
      <c r="W11" s="14">
        <f>V11*65</f>
        <v>390</v>
      </c>
      <c r="X11" s="16">
        <v>10</v>
      </c>
      <c r="Y11" s="16" t="s">
        <v>65</v>
      </c>
      <c r="Z11" s="16" t="s">
        <v>65</v>
      </c>
      <c r="AA11" s="16" t="s">
        <v>65</v>
      </c>
      <c r="AB11" s="16" t="s">
        <v>65</v>
      </c>
      <c r="AC11" s="16" t="s">
        <v>65</v>
      </c>
      <c r="AD11" s="15">
        <f t="shared" si="3"/>
        <v>10</v>
      </c>
      <c r="AE11" s="14">
        <f>AD11*65</f>
        <v>650</v>
      </c>
      <c r="AF11" s="16" t="s">
        <v>65</v>
      </c>
      <c r="AG11" s="16">
        <v>10</v>
      </c>
      <c r="AH11" s="16">
        <v>5</v>
      </c>
      <c r="AI11" s="16" t="s">
        <v>65</v>
      </c>
      <c r="AJ11" s="16" t="s">
        <v>65</v>
      </c>
      <c r="AK11" s="15">
        <f t="shared" si="4"/>
        <v>15</v>
      </c>
      <c r="AL11" s="14">
        <f>AK11*65</f>
        <v>975</v>
      </c>
      <c r="AS11" s="57" t="s">
        <v>3</v>
      </c>
      <c r="AT11" s="18">
        <f>AO59</f>
        <v>1067675</v>
      </c>
    </row>
    <row r="12" spans="2:46" ht="15.6" x14ac:dyDescent="0.3">
      <c r="B12" s="17" t="s">
        <v>54</v>
      </c>
      <c r="C12" s="16" t="s">
        <v>65</v>
      </c>
      <c r="D12" s="16">
        <v>3</v>
      </c>
      <c r="E12" s="16" t="s">
        <v>65</v>
      </c>
      <c r="F12" s="15">
        <f t="shared" si="0"/>
        <v>3</v>
      </c>
      <c r="G12" s="14">
        <f>F12*65</f>
        <v>195</v>
      </c>
      <c r="H12" s="61" t="s">
        <v>65</v>
      </c>
      <c r="I12" s="16">
        <v>1</v>
      </c>
      <c r="J12" s="16">
        <v>1</v>
      </c>
      <c r="K12" s="16" t="s">
        <v>65</v>
      </c>
      <c r="L12" s="16">
        <v>3</v>
      </c>
      <c r="M12" s="16">
        <v>3</v>
      </c>
      <c r="N12" s="15">
        <f t="shared" si="1"/>
        <v>8</v>
      </c>
      <c r="O12" s="14">
        <f>N12*65</f>
        <v>520</v>
      </c>
      <c r="P12" s="16">
        <v>1</v>
      </c>
      <c r="Q12" s="16" t="s">
        <v>65</v>
      </c>
      <c r="R12" s="16">
        <v>1</v>
      </c>
      <c r="S12" s="16">
        <v>2</v>
      </c>
      <c r="T12" s="16" t="s">
        <v>65</v>
      </c>
      <c r="U12" s="16">
        <v>1</v>
      </c>
      <c r="V12" s="15">
        <f t="shared" si="2"/>
        <v>5</v>
      </c>
      <c r="W12" s="14">
        <f>V12*65</f>
        <v>325</v>
      </c>
      <c r="X12" s="16">
        <v>6</v>
      </c>
      <c r="Y12" s="16" t="s">
        <v>65</v>
      </c>
      <c r="Z12" s="16" t="s">
        <v>65</v>
      </c>
      <c r="AA12" s="16" t="s">
        <v>65</v>
      </c>
      <c r="AB12" s="16">
        <v>2</v>
      </c>
      <c r="AC12" s="16" t="s">
        <v>65</v>
      </c>
      <c r="AD12" s="15">
        <f t="shared" si="3"/>
        <v>8</v>
      </c>
      <c r="AE12" s="14">
        <f>AD12*65</f>
        <v>520</v>
      </c>
      <c r="AF12" s="16" t="s">
        <v>65</v>
      </c>
      <c r="AG12" s="16" t="s">
        <v>65</v>
      </c>
      <c r="AH12" s="16">
        <v>5</v>
      </c>
      <c r="AI12" s="16" t="s">
        <v>65</v>
      </c>
      <c r="AJ12" s="16" t="s">
        <v>65</v>
      </c>
      <c r="AK12" s="15">
        <f t="shared" si="4"/>
        <v>5</v>
      </c>
      <c r="AL12" s="14">
        <f>AK12*65</f>
        <v>325</v>
      </c>
      <c r="AS12" s="56" t="s">
        <v>4</v>
      </c>
      <c r="AT12" s="12">
        <f>AO61</f>
        <v>1216</v>
      </c>
    </row>
    <row r="13" spans="2:46" ht="15.6" x14ac:dyDescent="0.3">
      <c r="B13" s="17" t="s">
        <v>40</v>
      </c>
      <c r="C13" s="16" t="s">
        <v>65</v>
      </c>
      <c r="D13" s="16">
        <v>13</v>
      </c>
      <c r="E13" s="16">
        <v>57</v>
      </c>
      <c r="F13" s="15">
        <f t="shared" si="0"/>
        <v>70</v>
      </c>
      <c r="G13" s="14">
        <f>F13*95</f>
        <v>6650</v>
      </c>
      <c r="H13" s="61">
        <v>5</v>
      </c>
      <c r="I13" s="16">
        <v>12</v>
      </c>
      <c r="J13" s="16" t="s">
        <v>65</v>
      </c>
      <c r="K13" s="16">
        <v>2</v>
      </c>
      <c r="L13" s="16">
        <v>24</v>
      </c>
      <c r="M13" s="16">
        <v>9</v>
      </c>
      <c r="N13" s="15">
        <f t="shared" si="1"/>
        <v>52</v>
      </c>
      <c r="O13" s="14">
        <f>N13*95</f>
        <v>4940</v>
      </c>
      <c r="P13" s="16">
        <v>76</v>
      </c>
      <c r="Q13" s="16">
        <v>78</v>
      </c>
      <c r="R13" s="16">
        <v>30</v>
      </c>
      <c r="S13" s="16">
        <v>10</v>
      </c>
      <c r="T13" s="16">
        <v>1</v>
      </c>
      <c r="U13" s="16">
        <v>10</v>
      </c>
      <c r="V13" s="15">
        <f t="shared" si="2"/>
        <v>205</v>
      </c>
      <c r="W13" s="14">
        <f>V13*95</f>
        <v>19475</v>
      </c>
      <c r="X13" s="16">
        <v>75</v>
      </c>
      <c r="Y13" s="16">
        <v>34</v>
      </c>
      <c r="Z13" s="16">
        <v>32</v>
      </c>
      <c r="AA13" s="16" t="s">
        <v>65</v>
      </c>
      <c r="AB13" s="16">
        <v>31</v>
      </c>
      <c r="AC13" s="16">
        <v>15</v>
      </c>
      <c r="AD13" s="15">
        <f t="shared" si="3"/>
        <v>187</v>
      </c>
      <c r="AE13" s="14">
        <f>AD13*95</f>
        <v>17765</v>
      </c>
      <c r="AF13" s="16">
        <v>65</v>
      </c>
      <c r="AG13" s="16">
        <v>40</v>
      </c>
      <c r="AH13" s="16">
        <v>38</v>
      </c>
      <c r="AI13" s="16">
        <v>30</v>
      </c>
      <c r="AJ13" s="16">
        <v>31</v>
      </c>
      <c r="AK13" s="15">
        <f t="shared" si="4"/>
        <v>204</v>
      </c>
      <c r="AL13" s="14">
        <f>AK13*95</f>
        <v>19380</v>
      </c>
      <c r="AS13" s="55" t="s">
        <v>3</v>
      </c>
      <c r="AT13" s="6">
        <f>AO62</f>
        <v>121600</v>
      </c>
    </row>
    <row r="14" spans="2:46" x14ac:dyDescent="0.3">
      <c r="B14" s="17" t="s">
        <v>53</v>
      </c>
      <c r="C14" s="16">
        <v>20</v>
      </c>
      <c r="D14" s="16">
        <v>16</v>
      </c>
      <c r="E14" s="16">
        <v>46</v>
      </c>
      <c r="F14" s="15">
        <f t="shared" si="0"/>
        <v>82</v>
      </c>
      <c r="G14" s="14">
        <f>F14*105</f>
        <v>8610</v>
      </c>
      <c r="H14" s="61">
        <v>7</v>
      </c>
      <c r="I14" s="16">
        <v>15</v>
      </c>
      <c r="J14" s="16" t="s">
        <v>65</v>
      </c>
      <c r="K14" s="16">
        <v>16</v>
      </c>
      <c r="L14" s="16">
        <v>38</v>
      </c>
      <c r="M14" s="16">
        <v>16</v>
      </c>
      <c r="N14" s="15">
        <f t="shared" si="1"/>
        <v>92</v>
      </c>
      <c r="O14" s="14">
        <f>N14*105</f>
        <v>9660</v>
      </c>
      <c r="P14" s="16">
        <v>4</v>
      </c>
      <c r="Q14" s="16">
        <v>20</v>
      </c>
      <c r="R14" s="16">
        <v>20</v>
      </c>
      <c r="S14" s="16">
        <v>8</v>
      </c>
      <c r="T14" s="16">
        <v>7</v>
      </c>
      <c r="U14" s="16">
        <v>10</v>
      </c>
      <c r="V14" s="15">
        <f t="shared" si="2"/>
        <v>69</v>
      </c>
      <c r="W14" s="14">
        <f>V14*105</f>
        <v>7245</v>
      </c>
      <c r="X14" s="16">
        <v>50</v>
      </c>
      <c r="Y14" s="16">
        <v>3</v>
      </c>
      <c r="Z14" s="16">
        <v>2</v>
      </c>
      <c r="AA14" s="16" t="s">
        <v>65</v>
      </c>
      <c r="AB14" s="16">
        <v>25</v>
      </c>
      <c r="AC14" s="16">
        <v>15</v>
      </c>
      <c r="AD14" s="15">
        <f t="shared" si="3"/>
        <v>95</v>
      </c>
      <c r="AE14" s="14">
        <f>AD14*105</f>
        <v>9975</v>
      </c>
      <c r="AF14" s="16">
        <v>42</v>
      </c>
      <c r="AG14" s="16">
        <v>30</v>
      </c>
      <c r="AH14" s="16">
        <v>52</v>
      </c>
      <c r="AI14" s="16">
        <v>31</v>
      </c>
      <c r="AJ14" s="16">
        <v>24</v>
      </c>
      <c r="AK14" s="15">
        <f t="shared" si="4"/>
        <v>179</v>
      </c>
      <c r="AL14" s="14">
        <f>AK14*105</f>
        <v>18795</v>
      </c>
      <c r="AS14" s="10"/>
    </row>
    <row r="15" spans="2:46" x14ac:dyDescent="0.3">
      <c r="B15" s="17" t="s">
        <v>52</v>
      </c>
      <c r="C15" s="16">
        <v>5</v>
      </c>
      <c r="D15" s="16">
        <v>4</v>
      </c>
      <c r="E15" s="16">
        <v>10</v>
      </c>
      <c r="F15" s="15">
        <f t="shared" si="0"/>
        <v>19</v>
      </c>
      <c r="G15" s="14">
        <f>F15*110</f>
        <v>2090</v>
      </c>
      <c r="H15" s="61">
        <v>2</v>
      </c>
      <c r="I15" s="16">
        <v>10</v>
      </c>
      <c r="J15" s="16" t="s">
        <v>65</v>
      </c>
      <c r="K15" s="16">
        <v>3</v>
      </c>
      <c r="L15" s="16">
        <v>10</v>
      </c>
      <c r="M15" s="16">
        <v>5</v>
      </c>
      <c r="N15" s="15">
        <f t="shared" si="1"/>
        <v>30</v>
      </c>
      <c r="O15" s="14">
        <f>N15*110</f>
        <v>3300</v>
      </c>
      <c r="P15" s="16">
        <v>4</v>
      </c>
      <c r="Q15" s="16" t="s">
        <v>65</v>
      </c>
      <c r="R15" s="16"/>
      <c r="S15" s="16" t="s">
        <v>65</v>
      </c>
      <c r="T15" s="16" t="s">
        <v>65</v>
      </c>
      <c r="U15" s="16" t="s">
        <v>65</v>
      </c>
      <c r="V15" s="15">
        <f t="shared" si="2"/>
        <v>4</v>
      </c>
      <c r="W15" s="14">
        <f>V15*110</f>
        <v>440</v>
      </c>
      <c r="X15" s="16">
        <v>20</v>
      </c>
      <c r="Y15" s="16">
        <v>6</v>
      </c>
      <c r="Z15" s="16">
        <v>2</v>
      </c>
      <c r="AA15" s="16" t="s">
        <v>65</v>
      </c>
      <c r="AB15" s="16" t="s">
        <v>65</v>
      </c>
      <c r="AC15" s="16">
        <v>5</v>
      </c>
      <c r="AD15" s="15">
        <f t="shared" si="3"/>
        <v>33</v>
      </c>
      <c r="AE15" s="14">
        <f>AD15*110</f>
        <v>3630</v>
      </c>
      <c r="AF15" s="16">
        <v>11</v>
      </c>
      <c r="AG15" s="16" t="s">
        <v>65</v>
      </c>
      <c r="AH15" s="16">
        <v>20</v>
      </c>
      <c r="AI15" s="16" t="s">
        <v>65</v>
      </c>
      <c r="AJ15" s="16">
        <v>5</v>
      </c>
      <c r="AK15" s="15">
        <f t="shared" si="4"/>
        <v>36</v>
      </c>
      <c r="AL15" s="14">
        <f>AK15*110</f>
        <v>3960</v>
      </c>
      <c r="AS15" s="54" t="s">
        <v>51</v>
      </c>
      <c r="AT15" s="53">
        <v>493380</v>
      </c>
    </row>
    <row r="16" spans="2:46" x14ac:dyDescent="0.3">
      <c r="B16" s="17" t="s">
        <v>50</v>
      </c>
      <c r="C16" s="16" t="s">
        <v>65</v>
      </c>
      <c r="D16" s="16">
        <v>1</v>
      </c>
      <c r="E16" s="16">
        <v>6</v>
      </c>
      <c r="F16" s="15">
        <f t="shared" si="0"/>
        <v>7</v>
      </c>
      <c r="G16" s="14">
        <f>F16*70</f>
        <v>490</v>
      </c>
      <c r="H16" s="61" t="s">
        <v>65</v>
      </c>
      <c r="I16" s="16">
        <v>2</v>
      </c>
      <c r="J16" s="16" t="s">
        <v>65</v>
      </c>
      <c r="K16" s="16">
        <v>15</v>
      </c>
      <c r="L16" s="16">
        <v>23</v>
      </c>
      <c r="M16" s="16" t="s">
        <v>65</v>
      </c>
      <c r="N16" s="15">
        <f t="shared" si="1"/>
        <v>40</v>
      </c>
      <c r="O16" s="14">
        <f>N16*70</f>
        <v>2800</v>
      </c>
      <c r="P16" s="16">
        <v>7</v>
      </c>
      <c r="Q16" s="16" t="s">
        <v>65</v>
      </c>
      <c r="R16" s="16">
        <v>6</v>
      </c>
      <c r="S16" s="16">
        <v>2</v>
      </c>
      <c r="T16" s="16" t="s">
        <v>65</v>
      </c>
      <c r="U16" s="16" t="s">
        <v>65</v>
      </c>
      <c r="V16" s="15">
        <f t="shared" si="2"/>
        <v>15</v>
      </c>
      <c r="W16" s="14">
        <f>V16*70</f>
        <v>1050</v>
      </c>
      <c r="X16" s="16" t="s">
        <v>65</v>
      </c>
      <c r="Y16" s="16" t="s">
        <v>65</v>
      </c>
      <c r="Z16" s="16" t="s">
        <v>65</v>
      </c>
      <c r="AA16" s="16" t="s">
        <v>65</v>
      </c>
      <c r="AB16" s="16" t="s">
        <v>65</v>
      </c>
      <c r="AC16" s="16"/>
      <c r="AD16" s="15">
        <f t="shared" si="3"/>
        <v>0</v>
      </c>
      <c r="AE16" s="14">
        <f>AD16*70</f>
        <v>0</v>
      </c>
      <c r="AF16" s="16">
        <v>1</v>
      </c>
      <c r="AG16" s="16">
        <v>20</v>
      </c>
      <c r="AH16" s="16">
        <v>2</v>
      </c>
      <c r="AI16" s="16">
        <v>15</v>
      </c>
      <c r="AJ16" s="16" t="s">
        <v>65</v>
      </c>
      <c r="AK16" s="15">
        <f t="shared" si="4"/>
        <v>38</v>
      </c>
      <c r="AL16" s="14">
        <f>AK16*70</f>
        <v>2660</v>
      </c>
    </row>
    <row r="17" spans="2:42" x14ac:dyDescent="0.3">
      <c r="B17" s="17" t="s">
        <v>28</v>
      </c>
      <c r="C17" s="16" t="s">
        <v>65</v>
      </c>
      <c r="D17" s="16" t="s">
        <v>65</v>
      </c>
      <c r="E17" s="16" t="s">
        <v>65</v>
      </c>
      <c r="F17" s="15">
        <f t="shared" si="0"/>
        <v>0</v>
      </c>
      <c r="G17" s="14">
        <f>F17*0</f>
        <v>0</v>
      </c>
      <c r="H17" s="61" t="s">
        <v>65</v>
      </c>
      <c r="I17" s="16"/>
      <c r="J17" s="16" t="s">
        <v>65</v>
      </c>
      <c r="K17" s="16"/>
      <c r="L17" s="16" t="s">
        <v>65</v>
      </c>
      <c r="M17" s="16" t="s">
        <v>65</v>
      </c>
      <c r="N17" s="15">
        <f t="shared" si="1"/>
        <v>0</v>
      </c>
      <c r="O17" s="14">
        <f>N17*0</f>
        <v>0</v>
      </c>
      <c r="P17" s="16"/>
      <c r="Q17" s="16" t="s">
        <v>65</v>
      </c>
      <c r="R17" s="16"/>
      <c r="S17" s="16"/>
      <c r="T17" s="16" t="s">
        <v>65</v>
      </c>
      <c r="U17" s="16" t="s">
        <v>65</v>
      </c>
      <c r="V17" s="15">
        <f t="shared" si="2"/>
        <v>0</v>
      </c>
      <c r="W17" s="14">
        <f>V17*0</f>
        <v>0</v>
      </c>
      <c r="X17" s="16"/>
      <c r="Y17" s="16" t="s">
        <v>65</v>
      </c>
      <c r="Z17" s="16"/>
      <c r="AA17" s="16" t="s">
        <v>65</v>
      </c>
      <c r="AB17" s="16" t="s">
        <v>65</v>
      </c>
      <c r="AC17" s="16"/>
      <c r="AD17" s="15">
        <f t="shared" si="3"/>
        <v>0</v>
      </c>
      <c r="AE17" s="14">
        <f>AD17*0</f>
        <v>0</v>
      </c>
      <c r="AF17" s="16" t="s">
        <v>65</v>
      </c>
      <c r="AG17" s="16"/>
      <c r="AH17" s="16"/>
      <c r="AI17" s="16"/>
      <c r="AJ17" s="16"/>
      <c r="AK17" s="15">
        <f t="shared" si="4"/>
        <v>0</v>
      </c>
      <c r="AL17" s="14">
        <f>AK17*0</f>
        <v>0</v>
      </c>
    </row>
    <row r="18" spans="2:42" x14ac:dyDescent="0.3">
      <c r="B18" s="17" t="s">
        <v>49</v>
      </c>
      <c r="C18" s="16" t="s">
        <v>65</v>
      </c>
      <c r="D18" s="16" t="s">
        <v>65</v>
      </c>
      <c r="E18" s="16" t="s">
        <v>65</v>
      </c>
      <c r="F18" s="15">
        <f t="shared" si="0"/>
        <v>0</v>
      </c>
      <c r="G18" s="14">
        <f>F18*0</f>
        <v>0</v>
      </c>
      <c r="H18" s="61" t="s">
        <v>65</v>
      </c>
      <c r="I18" s="16"/>
      <c r="J18" s="16" t="s">
        <v>65</v>
      </c>
      <c r="K18" s="16"/>
      <c r="L18" s="16" t="s">
        <v>65</v>
      </c>
      <c r="M18" s="16" t="s">
        <v>65</v>
      </c>
      <c r="N18" s="15">
        <f t="shared" si="1"/>
        <v>0</v>
      </c>
      <c r="O18" s="14">
        <f>N18*0</f>
        <v>0</v>
      </c>
      <c r="P18" s="16"/>
      <c r="Q18" s="16" t="s">
        <v>65</v>
      </c>
      <c r="R18" s="16"/>
      <c r="S18" s="16"/>
      <c r="T18" s="16" t="s">
        <v>65</v>
      </c>
      <c r="U18" s="16" t="s">
        <v>65</v>
      </c>
      <c r="V18" s="15">
        <f t="shared" si="2"/>
        <v>0</v>
      </c>
      <c r="W18" s="14">
        <f>V18*0</f>
        <v>0</v>
      </c>
      <c r="X18" s="16"/>
      <c r="Y18" s="16" t="s">
        <v>65</v>
      </c>
      <c r="Z18" s="16"/>
      <c r="AA18" s="16" t="s">
        <v>65</v>
      </c>
      <c r="AB18" s="16" t="s">
        <v>65</v>
      </c>
      <c r="AC18" s="16"/>
      <c r="AD18" s="15">
        <f t="shared" si="3"/>
        <v>0</v>
      </c>
      <c r="AE18" s="14">
        <f>AD18*0</f>
        <v>0</v>
      </c>
      <c r="AF18" s="16" t="s">
        <v>65</v>
      </c>
      <c r="AG18" s="16"/>
      <c r="AH18" s="16"/>
      <c r="AI18" s="16"/>
      <c r="AJ18" s="16"/>
      <c r="AK18" s="15">
        <f t="shared" si="4"/>
        <v>0</v>
      </c>
      <c r="AL18" s="14">
        <f>AK18*0</f>
        <v>0</v>
      </c>
    </row>
    <row r="19" spans="2:42" ht="15.6" x14ac:dyDescent="0.3">
      <c r="B19" s="52"/>
      <c r="C19" s="51"/>
      <c r="D19" s="51"/>
      <c r="E19" s="51"/>
      <c r="F19" s="39">
        <f>SUM(F4:F16)</f>
        <v>518</v>
      </c>
      <c r="G19" s="49">
        <f>SUM(G4:G16)</f>
        <v>38292</v>
      </c>
      <c r="H19" s="50"/>
      <c r="I19" s="50"/>
      <c r="J19" s="50"/>
      <c r="K19" s="50"/>
      <c r="L19" s="50"/>
      <c r="M19" s="50"/>
      <c r="N19" s="39">
        <f>SUM(N4:N16)</f>
        <v>1000</v>
      </c>
      <c r="O19" s="49">
        <f>SUM(O4:O16)</f>
        <v>68169</v>
      </c>
      <c r="P19" s="50"/>
      <c r="Q19" s="50"/>
      <c r="R19" s="50"/>
      <c r="S19" s="50"/>
      <c r="T19" s="50"/>
      <c r="U19" s="50"/>
      <c r="V19" s="39">
        <f>SUM(V4:V16)</f>
        <v>648</v>
      </c>
      <c r="W19" s="49">
        <f>SUM(W4:W16)</f>
        <v>49622</v>
      </c>
      <c r="X19" s="50"/>
      <c r="Y19" s="50"/>
      <c r="Z19" s="50"/>
      <c r="AA19" s="50"/>
      <c r="AB19" s="50"/>
      <c r="AC19" s="50"/>
      <c r="AD19" s="39">
        <f>SUM(AD4:AD16)</f>
        <v>1097</v>
      </c>
      <c r="AE19" s="49">
        <f>SUM(AE4:AE16)</f>
        <v>78466</v>
      </c>
      <c r="AF19" s="50"/>
      <c r="AG19" s="50"/>
      <c r="AH19" s="50"/>
      <c r="AI19" s="50"/>
      <c r="AJ19" s="50"/>
      <c r="AK19" s="39">
        <f>SUM(AK4:AK16)</f>
        <v>1246</v>
      </c>
      <c r="AL19" s="49">
        <f>SUM(AL4:AL16)</f>
        <v>92291</v>
      </c>
      <c r="AN19" s="47" t="s">
        <v>48</v>
      </c>
      <c r="AO19" s="48">
        <f>F50+N50+V50+AD50+AK50</f>
        <v>5992</v>
      </c>
      <c r="AP19" s="30">
        <f>AO20/AO19</f>
        <v>73.288718291054735</v>
      </c>
    </row>
    <row r="20" spans="2:42" ht="15.6" customHeight="1" x14ac:dyDescent="0.3">
      <c r="B20" s="42" t="s">
        <v>47</v>
      </c>
      <c r="C20" s="16"/>
      <c r="D20" s="16">
        <v>2</v>
      </c>
      <c r="E20" s="16" t="s">
        <v>65</v>
      </c>
      <c r="F20" s="15">
        <f>SUM(C20:E20)</f>
        <v>2</v>
      </c>
      <c r="G20" s="14">
        <f>F20*85</f>
        <v>170</v>
      </c>
      <c r="H20" s="16"/>
      <c r="I20" s="16">
        <v>10</v>
      </c>
      <c r="J20" s="16"/>
      <c r="K20" s="16">
        <v>20</v>
      </c>
      <c r="L20" s="16">
        <v>37</v>
      </c>
      <c r="M20" s="16">
        <v>16</v>
      </c>
      <c r="N20" s="15">
        <f>SUM(H20:M20)</f>
        <v>83</v>
      </c>
      <c r="O20" s="14">
        <f>N20*85</f>
        <v>7055</v>
      </c>
      <c r="P20" s="16">
        <v>1</v>
      </c>
      <c r="Q20" s="16">
        <v>10</v>
      </c>
      <c r="R20" s="16">
        <v>5</v>
      </c>
      <c r="S20" s="16">
        <v>2</v>
      </c>
      <c r="T20" s="16" t="s">
        <v>65</v>
      </c>
      <c r="U20" s="16" t="s">
        <v>65</v>
      </c>
      <c r="V20" s="15">
        <f>SUM(P20:U20)</f>
        <v>18</v>
      </c>
      <c r="W20" s="14">
        <f>V20*85</f>
        <v>1530</v>
      </c>
      <c r="X20" s="16"/>
      <c r="Y20" s="16"/>
      <c r="Z20" s="16"/>
      <c r="AA20" s="16">
        <v>20</v>
      </c>
      <c r="AB20" s="16"/>
      <c r="AC20" s="16"/>
      <c r="AD20" s="15">
        <f>SUM(X20:AC20)</f>
        <v>20</v>
      </c>
      <c r="AE20" s="14">
        <f>AD20*85</f>
        <v>1700</v>
      </c>
      <c r="AF20" s="16"/>
      <c r="AG20" s="16"/>
      <c r="AH20" s="16"/>
      <c r="AI20" s="16">
        <v>20</v>
      </c>
      <c r="AJ20" s="16">
        <v>15</v>
      </c>
      <c r="AK20" s="15">
        <f>SUM(AF20:AJ20)</f>
        <v>35</v>
      </c>
      <c r="AL20" s="14">
        <f>AK20*85</f>
        <v>2975</v>
      </c>
      <c r="AN20" s="47" t="s">
        <v>3</v>
      </c>
      <c r="AO20" s="46">
        <f>G50+O50+W50+AE50+AL50</f>
        <v>439146</v>
      </c>
    </row>
    <row r="21" spans="2:42" x14ac:dyDescent="0.3">
      <c r="B21" s="42" t="s">
        <v>46</v>
      </c>
      <c r="C21" s="16"/>
      <c r="D21" s="16">
        <v>5</v>
      </c>
      <c r="E21" s="16">
        <v>10</v>
      </c>
      <c r="F21" s="15">
        <f>SUM(C21:E21)</f>
        <v>15</v>
      </c>
      <c r="G21" s="14">
        <f>F21*84</f>
        <v>1260</v>
      </c>
      <c r="H21" s="16" t="s">
        <v>65</v>
      </c>
      <c r="I21" s="16"/>
      <c r="J21" s="16"/>
      <c r="K21" s="16">
        <v>20</v>
      </c>
      <c r="L21" s="16">
        <v>24</v>
      </c>
      <c r="M21" s="16">
        <v>6</v>
      </c>
      <c r="N21" s="15">
        <f t="shared" ref="N21:N46" si="5">SUM(H21:M21)</f>
        <v>50</v>
      </c>
      <c r="O21" s="14">
        <f>N21*84</f>
        <v>4200</v>
      </c>
      <c r="P21" s="16">
        <v>1</v>
      </c>
      <c r="Q21" s="16" t="s">
        <v>65</v>
      </c>
      <c r="R21" s="16">
        <v>5</v>
      </c>
      <c r="S21" s="16">
        <v>2</v>
      </c>
      <c r="T21" s="16"/>
      <c r="U21" s="16">
        <v>10</v>
      </c>
      <c r="V21" s="15">
        <f t="shared" ref="V21:V47" si="6">SUM(P21:U21)</f>
        <v>18</v>
      </c>
      <c r="W21" s="14">
        <f>V21*84</f>
        <v>1512</v>
      </c>
      <c r="X21" s="16"/>
      <c r="Y21" s="16"/>
      <c r="Z21" s="16"/>
      <c r="AA21" s="16">
        <v>30</v>
      </c>
      <c r="AB21" s="16"/>
      <c r="AC21" s="16"/>
      <c r="AD21" s="15">
        <f t="shared" ref="AD21:AD47" si="7">SUM(X21:AC21)</f>
        <v>30</v>
      </c>
      <c r="AE21" s="14">
        <f>AD21*84</f>
        <v>2520</v>
      </c>
      <c r="AF21" s="16">
        <v>2</v>
      </c>
      <c r="AG21" s="16"/>
      <c r="AH21" s="16"/>
      <c r="AI21" s="16">
        <v>55</v>
      </c>
      <c r="AJ21" s="16">
        <v>20</v>
      </c>
      <c r="AK21" s="15">
        <f t="shared" ref="AK21:AK47" si="8">SUM(AF21:AJ21)</f>
        <v>77</v>
      </c>
      <c r="AL21" s="14">
        <f>AK21*84</f>
        <v>6468</v>
      </c>
    </row>
    <row r="22" spans="2:42" x14ac:dyDescent="0.3">
      <c r="B22" s="42" t="s">
        <v>45</v>
      </c>
      <c r="C22" s="16"/>
      <c r="D22" s="16"/>
      <c r="E22" s="16" t="s">
        <v>65</v>
      </c>
      <c r="F22" s="15">
        <f>SUM(C22:E22)</f>
        <v>0</v>
      </c>
      <c r="G22" s="14">
        <f>F22*85</f>
        <v>0</v>
      </c>
      <c r="H22" s="16" t="s">
        <v>65</v>
      </c>
      <c r="I22" s="16">
        <v>1</v>
      </c>
      <c r="J22" s="16">
        <v>2</v>
      </c>
      <c r="K22" s="16">
        <v>15</v>
      </c>
      <c r="L22" s="16">
        <v>7</v>
      </c>
      <c r="M22" s="16">
        <v>12</v>
      </c>
      <c r="N22" s="15">
        <f t="shared" si="5"/>
        <v>37</v>
      </c>
      <c r="O22" s="14">
        <f>N22*85</f>
        <v>3145</v>
      </c>
      <c r="P22" s="16"/>
      <c r="Q22" s="16" t="s">
        <v>65</v>
      </c>
      <c r="R22" s="16">
        <v>80</v>
      </c>
      <c r="S22" s="16" t="s">
        <v>65</v>
      </c>
      <c r="T22" s="16"/>
      <c r="U22" s="16">
        <v>10</v>
      </c>
      <c r="V22" s="15">
        <f t="shared" si="6"/>
        <v>90</v>
      </c>
      <c r="W22" s="14">
        <f>V22*85</f>
        <v>7650</v>
      </c>
      <c r="X22" s="16"/>
      <c r="Y22" s="16"/>
      <c r="Z22" s="16"/>
      <c r="AA22" s="16" t="s">
        <v>65</v>
      </c>
      <c r="AB22" s="16"/>
      <c r="AC22" s="16"/>
      <c r="AD22" s="15">
        <f t="shared" si="7"/>
        <v>0</v>
      </c>
      <c r="AE22" s="14">
        <f>AD22*85</f>
        <v>0</v>
      </c>
      <c r="AF22" s="16">
        <v>1</v>
      </c>
      <c r="AG22" s="16"/>
      <c r="AH22" s="16"/>
      <c r="AI22" s="16">
        <v>13</v>
      </c>
      <c r="AJ22" s="16"/>
      <c r="AK22" s="15">
        <f t="shared" si="8"/>
        <v>14</v>
      </c>
      <c r="AL22" s="14">
        <f>AK22*85</f>
        <v>1190</v>
      </c>
    </row>
    <row r="23" spans="2:42" x14ac:dyDescent="0.3">
      <c r="B23" s="42" t="s">
        <v>44</v>
      </c>
      <c r="C23" s="16"/>
      <c r="D23" s="16"/>
      <c r="E23" s="16" t="s">
        <v>65</v>
      </c>
      <c r="F23" s="15">
        <f t="shared" ref="F23:F46" si="9">SUM(C23:E23)</f>
        <v>0</v>
      </c>
      <c r="G23" s="14">
        <f>F23*85</f>
        <v>0</v>
      </c>
      <c r="H23" s="16" t="s">
        <v>65</v>
      </c>
      <c r="I23" s="16"/>
      <c r="J23" s="16"/>
      <c r="K23" s="16" t="s">
        <v>65</v>
      </c>
      <c r="L23" s="16">
        <v>21</v>
      </c>
      <c r="M23" s="16">
        <v>5</v>
      </c>
      <c r="N23" s="15">
        <f t="shared" si="5"/>
        <v>26</v>
      </c>
      <c r="O23" s="14">
        <f>N23*85</f>
        <v>2210</v>
      </c>
      <c r="P23" s="16">
        <v>1</v>
      </c>
      <c r="Q23" s="16">
        <v>5</v>
      </c>
      <c r="R23" s="16">
        <v>5</v>
      </c>
      <c r="S23" s="16">
        <v>4</v>
      </c>
      <c r="T23" s="16"/>
      <c r="U23" s="16"/>
      <c r="V23" s="15">
        <f t="shared" si="6"/>
        <v>15</v>
      </c>
      <c r="W23" s="14">
        <f>V23*85</f>
        <v>1275</v>
      </c>
      <c r="X23" s="16"/>
      <c r="Y23" s="16"/>
      <c r="Z23" s="16"/>
      <c r="AA23" s="16" t="s">
        <v>65</v>
      </c>
      <c r="AB23" s="16"/>
      <c r="AC23" s="16">
        <v>5</v>
      </c>
      <c r="AD23" s="15">
        <f t="shared" si="7"/>
        <v>5</v>
      </c>
      <c r="AE23" s="14">
        <f>AD23*85</f>
        <v>425</v>
      </c>
      <c r="AF23" s="16">
        <v>1</v>
      </c>
      <c r="AG23" s="16"/>
      <c r="AH23" s="16"/>
      <c r="AI23" s="16" t="s">
        <v>65</v>
      </c>
      <c r="AJ23" s="16"/>
      <c r="AK23" s="15">
        <f t="shared" si="8"/>
        <v>1</v>
      </c>
      <c r="AL23" s="14">
        <f>AK23*85</f>
        <v>85</v>
      </c>
    </row>
    <row r="24" spans="2:42" ht="15.6" x14ac:dyDescent="0.3">
      <c r="B24" s="42" t="s">
        <v>43</v>
      </c>
      <c r="C24" s="16"/>
      <c r="D24" s="16"/>
      <c r="E24" s="16" t="s">
        <v>65</v>
      </c>
      <c r="F24" s="15">
        <f t="shared" si="9"/>
        <v>0</v>
      </c>
      <c r="G24" s="14">
        <f>F24*85</f>
        <v>0</v>
      </c>
      <c r="H24" s="16" t="s">
        <v>65</v>
      </c>
      <c r="I24" s="16"/>
      <c r="J24" s="16"/>
      <c r="K24" s="16" t="s">
        <v>65</v>
      </c>
      <c r="L24" s="16" t="s">
        <v>65</v>
      </c>
      <c r="M24" s="16"/>
      <c r="N24" s="15">
        <f t="shared" si="5"/>
        <v>0</v>
      </c>
      <c r="O24" s="14">
        <f>N24*85</f>
        <v>0</v>
      </c>
      <c r="P24" s="16"/>
      <c r="Q24" s="16" t="s">
        <v>65</v>
      </c>
      <c r="R24" s="16">
        <v>70</v>
      </c>
      <c r="S24" s="16"/>
      <c r="T24" s="16"/>
      <c r="U24" s="16"/>
      <c r="V24" s="15">
        <f t="shared" si="6"/>
        <v>70</v>
      </c>
      <c r="W24" s="14">
        <f>V24*85</f>
        <v>5950</v>
      </c>
      <c r="X24" s="16"/>
      <c r="Y24" s="16"/>
      <c r="Z24" s="16"/>
      <c r="AA24" s="16" t="s">
        <v>65</v>
      </c>
      <c r="AB24" s="16"/>
      <c r="AC24" s="16"/>
      <c r="AD24" s="15">
        <f t="shared" si="7"/>
        <v>0</v>
      </c>
      <c r="AE24" s="14">
        <f>AD24*85</f>
        <v>0</v>
      </c>
      <c r="AF24" s="16"/>
      <c r="AG24" s="16">
        <v>25</v>
      </c>
      <c r="AH24" s="16"/>
      <c r="AI24" s="16" t="s">
        <v>65</v>
      </c>
      <c r="AJ24" s="16"/>
      <c r="AK24" s="15">
        <f t="shared" si="8"/>
        <v>25</v>
      </c>
      <c r="AL24" s="14">
        <f>AK24*85</f>
        <v>2125</v>
      </c>
      <c r="AN24" s="70" t="s">
        <v>42</v>
      </c>
      <c r="AO24" s="70"/>
    </row>
    <row r="25" spans="2:42" ht="15.6" x14ac:dyDescent="0.3">
      <c r="B25" s="42" t="s">
        <v>41</v>
      </c>
      <c r="C25" s="16"/>
      <c r="D25" s="16"/>
      <c r="E25" s="16" t="s">
        <v>65</v>
      </c>
      <c r="F25" s="15">
        <f t="shared" si="9"/>
        <v>0</v>
      </c>
      <c r="G25" s="14">
        <f>F25*84</f>
        <v>0</v>
      </c>
      <c r="H25" s="16">
        <v>25</v>
      </c>
      <c r="I25" s="16"/>
      <c r="J25" s="16"/>
      <c r="K25" s="16"/>
      <c r="L25" s="16" t="s">
        <v>65</v>
      </c>
      <c r="M25" s="16"/>
      <c r="N25" s="15">
        <f t="shared" si="5"/>
        <v>25</v>
      </c>
      <c r="O25" s="14">
        <f>N25*84</f>
        <v>2100</v>
      </c>
      <c r="P25" s="16"/>
      <c r="Q25" s="16" t="s">
        <v>65</v>
      </c>
      <c r="R25" s="16">
        <v>120</v>
      </c>
      <c r="S25" s="16"/>
      <c r="T25" s="16"/>
      <c r="U25" s="16"/>
      <c r="V25" s="15">
        <f t="shared" si="6"/>
        <v>120</v>
      </c>
      <c r="W25" s="14">
        <f>V25*84</f>
        <v>10080</v>
      </c>
      <c r="X25" s="16"/>
      <c r="Y25" s="16"/>
      <c r="Z25" s="16"/>
      <c r="AA25" s="16" t="s">
        <v>65</v>
      </c>
      <c r="AB25" s="16"/>
      <c r="AC25" s="16"/>
      <c r="AD25" s="15">
        <f t="shared" si="7"/>
        <v>0</v>
      </c>
      <c r="AE25" s="14">
        <f>AD25*84</f>
        <v>0</v>
      </c>
      <c r="AF25" s="16"/>
      <c r="AG25" s="16">
        <v>40</v>
      </c>
      <c r="AH25" s="16"/>
      <c r="AI25" s="16" t="s">
        <v>65</v>
      </c>
      <c r="AJ25" s="16"/>
      <c r="AK25" s="15">
        <f t="shared" si="8"/>
        <v>40</v>
      </c>
      <c r="AL25" s="14">
        <f>AK25*84</f>
        <v>3360</v>
      </c>
      <c r="AN25" s="45" t="s">
        <v>40</v>
      </c>
      <c r="AO25" s="44">
        <f>F13+N13+V13+AD13+AK13</f>
        <v>718</v>
      </c>
    </row>
    <row r="26" spans="2:42" ht="15.6" x14ac:dyDescent="0.3">
      <c r="B26" s="42" t="s">
        <v>39</v>
      </c>
      <c r="C26" s="16"/>
      <c r="D26" s="16"/>
      <c r="E26" s="16" t="s">
        <v>65</v>
      </c>
      <c r="F26" s="15">
        <f t="shared" si="9"/>
        <v>0</v>
      </c>
      <c r="G26" s="14">
        <f>F26*85</f>
        <v>0</v>
      </c>
      <c r="H26" s="16"/>
      <c r="I26" s="16"/>
      <c r="J26" s="16"/>
      <c r="K26" s="16"/>
      <c r="L26" s="16" t="s">
        <v>65</v>
      </c>
      <c r="M26" s="16"/>
      <c r="N26" s="15">
        <f t="shared" si="5"/>
        <v>0</v>
      </c>
      <c r="O26" s="14">
        <f>N26*85</f>
        <v>0</v>
      </c>
      <c r="P26" s="16">
        <v>1</v>
      </c>
      <c r="Q26" s="16" t="s">
        <v>65</v>
      </c>
      <c r="R26" s="16">
        <v>28</v>
      </c>
      <c r="S26" s="16"/>
      <c r="T26" s="16"/>
      <c r="U26" s="16"/>
      <c r="V26" s="15">
        <f t="shared" si="6"/>
        <v>29</v>
      </c>
      <c r="W26" s="14">
        <f>V26*85</f>
        <v>2465</v>
      </c>
      <c r="X26" s="16"/>
      <c r="Y26" s="16"/>
      <c r="Z26" s="16"/>
      <c r="AA26" s="16" t="s">
        <v>65</v>
      </c>
      <c r="AB26" s="16"/>
      <c r="AC26" s="16"/>
      <c r="AD26" s="15">
        <f t="shared" si="7"/>
        <v>0</v>
      </c>
      <c r="AE26" s="14">
        <f>AD26*85</f>
        <v>0</v>
      </c>
      <c r="AF26" s="16"/>
      <c r="AG26" s="16">
        <v>20</v>
      </c>
      <c r="AH26" s="16"/>
      <c r="AI26" s="16" t="s">
        <v>65</v>
      </c>
      <c r="AJ26" s="16"/>
      <c r="AK26" s="15">
        <f t="shared" si="8"/>
        <v>20</v>
      </c>
      <c r="AL26" s="14">
        <f>AK26*85</f>
        <v>1700</v>
      </c>
      <c r="AN26" s="45" t="s">
        <v>38</v>
      </c>
      <c r="AO26" s="44">
        <f>F14+N14+V14+AD14+AK14</f>
        <v>517</v>
      </c>
    </row>
    <row r="27" spans="2:42" ht="15.6" x14ac:dyDescent="0.3">
      <c r="B27" s="42" t="s">
        <v>37</v>
      </c>
      <c r="C27" s="16"/>
      <c r="D27" s="16"/>
      <c r="E27" s="16" t="s">
        <v>65</v>
      </c>
      <c r="F27" s="15">
        <f t="shared" si="9"/>
        <v>0</v>
      </c>
      <c r="G27" s="14">
        <f>F27*85</f>
        <v>0</v>
      </c>
      <c r="H27" s="16"/>
      <c r="I27" s="16"/>
      <c r="J27" s="16"/>
      <c r="K27" s="16"/>
      <c r="L27" s="16" t="s">
        <v>65</v>
      </c>
      <c r="M27" s="16"/>
      <c r="N27" s="15">
        <f t="shared" si="5"/>
        <v>0</v>
      </c>
      <c r="O27" s="14">
        <f>N27*85</f>
        <v>0</v>
      </c>
      <c r="P27" s="16"/>
      <c r="Q27" s="16" t="s">
        <v>65</v>
      </c>
      <c r="R27" s="16"/>
      <c r="S27" s="16"/>
      <c r="T27" s="16"/>
      <c r="U27" s="16"/>
      <c r="V27" s="15">
        <f t="shared" si="6"/>
        <v>0</v>
      </c>
      <c r="W27" s="14">
        <f>V27*85</f>
        <v>0</v>
      </c>
      <c r="X27" s="16"/>
      <c r="Y27" s="16"/>
      <c r="Z27" s="16"/>
      <c r="AA27" s="16" t="s">
        <v>65</v>
      </c>
      <c r="AB27" s="16"/>
      <c r="AC27" s="16"/>
      <c r="AD27" s="15">
        <f t="shared" si="7"/>
        <v>0</v>
      </c>
      <c r="AE27" s="14">
        <f>AD27*85</f>
        <v>0</v>
      </c>
      <c r="AF27" s="16"/>
      <c r="AG27" s="16"/>
      <c r="AH27" s="16"/>
      <c r="AI27" s="16" t="s">
        <v>65</v>
      </c>
      <c r="AJ27" s="16"/>
      <c r="AK27" s="15">
        <f t="shared" si="8"/>
        <v>0</v>
      </c>
      <c r="AL27" s="14">
        <f>AK27*85</f>
        <v>0</v>
      </c>
      <c r="AN27" s="45" t="s">
        <v>36</v>
      </c>
      <c r="AO27" s="44">
        <f>F15+N15+V15+AD15+AK15</f>
        <v>122</v>
      </c>
    </row>
    <row r="28" spans="2:42" x14ac:dyDescent="0.3">
      <c r="B28" s="42" t="s">
        <v>35</v>
      </c>
      <c r="C28" s="16"/>
      <c r="D28" s="16">
        <v>2</v>
      </c>
      <c r="E28" s="16" t="s">
        <v>65</v>
      </c>
      <c r="F28" s="15">
        <f t="shared" si="9"/>
        <v>2</v>
      </c>
      <c r="G28" s="14">
        <f>F28*75</f>
        <v>150</v>
      </c>
      <c r="H28" s="16"/>
      <c r="I28" s="16"/>
      <c r="J28" s="16"/>
      <c r="K28" s="16"/>
      <c r="L28" s="16">
        <v>10</v>
      </c>
      <c r="M28" s="16">
        <v>5</v>
      </c>
      <c r="N28" s="15">
        <f t="shared" si="5"/>
        <v>15</v>
      </c>
      <c r="O28" s="14">
        <f>N28*75</f>
        <v>1125</v>
      </c>
      <c r="P28" s="16"/>
      <c r="Q28" s="16" t="s">
        <v>65</v>
      </c>
      <c r="R28" s="16"/>
      <c r="S28" s="16"/>
      <c r="T28" s="20"/>
      <c r="U28" s="16">
        <v>15</v>
      </c>
      <c r="V28" s="15">
        <f t="shared" si="6"/>
        <v>15</v>
      </c>
      <c r="W28" s="14">
        <f>V28*75</f>
        <v>1125</v>
      </c>
      <c r="X28" s="16"/>
      <c r="Y28" s="16"/>
      <c r="Z28" s="16"/>
      <c r="AA28" s="16" t="s">
        <v>65</v>
      </c>
      <c r="AB28" s="16"/>
      <c r="AC28" s="16"/>
      <c r="AD28" s="15">
        <f t="shared" si="7"/>
        <v>0</v>
      </c>
      <c r="AE28" s="14">
        <f>AD28*75</f>
        <v>0</v>
      </c>
      <c r="AF28" s="16"/>
      <c r="AG28" s="16"/>
      <c r="AH28" s="16"/>
      <c r="AI28" s="16" t="s">
        <v>65</v>
      </c>
      <c r="AJ28" s="16"/>
      <c r="AK28" s="15">
        <f t="shared" si="8"/>
        <v>0</v>
      </c>
      <c r="AL28" s="14">
        <f>AK28*75</f>
        <v>0</v>
      </c>
      <c r="AO28" s="43">
        <f>SUM(AO25:AO27)</f>
        <v>1357</v>
      </c>
    </row>
    <row r="29" spans="2:42" x14ac:dyDescent="0.3">
      <c r="B29" s="42" t="s">
        <v>34</v>
      </c>
      <c r="C29" s="16"/>
      <c r="D29" s="16">
        <v>2</v>
      </c>
      <c r="E29" s="16" t="s">
        <v>65</v>
      </c>
      <c r="F29" s="15">
        <f t="shared" si="9"/>
        <v>2</v>
      </c>
      <c r="G29" s="14">
        <f>F29*75</f>
        <v>150</v>
      </c>
      <c r="H29" s="16"/>
      <c r="I29" s="16"/>
      <c r="J29" s="16"/>
      <c r="K29" s="16">
        <v>10</v>
      </c>
      <c r="L29" s="16" t="s">
        <v>65</v>
      </c>
      <c r="M29" s="16"/>
      <c r="N29" s="15">
        <f t="shared" si="5"/>
        <v>10</v>
      </c>
      <c r="O29" s="14">
        <f>N29*75</f>
        <v>750</v>
      </c>
      <c r="P29" s="16">
        <v>1</v>
      </c>
      <c r="Q29" s="16" t="s">
        <v>65</v>
      </c>
      <c r="R29" s="16"/>
      <c r="S29" s="16"/>
      <c r="T29" s="16"/>
      <c r="U29" s="16"/>
      <c r="V29" s="15">
        <f t="shared" si="6"/>
        <v>1</v>
      </c>
      <c r="W29" s="14">
        <f>V29*75</f>
        <v>75</v>
      </c>
      <c r="X29" s="16"/>
      <c r="Y29" s="16"/>
      <c r="Z29" s="16"/>
      <c r="AA29" s="16" t="s">
        <v>65</v>
      </c>
      <c r="AB29" s="16"/>
      <c r="AC29" s="16"/>
      <c r="AD29" s="15">
        <f t="shared" si="7"/>
        <v>0</v>
      </c>
      <c r="AE29" s="14">
        <f>AD29*75</f>
        <v>0</v>
      </c>
      <c r="AF29" s="16"/>
      <c r="AG29" s="16">
        <v>5</v>
      </c>
      <c r="AH29" s="16"/>
      <c r="AI29" s="16" t="s">
        <v>65</v>
      </c>
      <c r="AJ29" s="16"/>
      <c r="AK29" s="15">
        <f t="shared" si="8"/>
        <v>5</v>
      </c>
      <c r="AL29" s="14">
        <f>AK29*75</f>
        <v>375</v>
      </c>
    </row>
    <row r="30" spans="2:42" x14ac:dyDescent="0.3">
      <c r="B30" s="42" t="s">
        <v>33</v>
      </c>
      <c r="C30" s="16"/>
      <c r="D30" s="16">
        <v>4</v>
      </c>
      <c r="E30" s="16">
        <v>10</v>
      </c>
      <c r="F30" s="15">
        <f t="shared" si="9"/>
        <v>14</v>
      </c>
      <c r="G30" s="14">
        <f>F30*78</f>
        <v>1092</v>
      </c>
      <c r="H30" s="16"/>
      <c r="I30" s="16">
        <v>2</v>
      </c>
      <c r="J30" s="16"/>
      <c r="K30" s="16">
        <v>20</v>
      </c>
      <c r="L30" s="16">
        <v>3</v>
      </c>
      <c r="M30" s="16">
        <v>5</v>
      </c>
      <c r="N30" s="15">
        <f t="shared" si="5"/>
        <v>30</v>
      </c>
      <c r="O30" s="14">
        <f>N30*78</f>
        <v>2340</v>
      </c>
      <c r="P30" s="16">
        <v>2</v>
      </c>
      <c r="Q30" s="16">
        <v>7</v>
      </c>
      <c r="R30" s="16">
        <v>50</v>
      </c>
      <c r="S30" s="16">
        <v>8</v>
      </c>
      <c r="T30" s="16"/>
      <c r="U30" s="16"/>
      <c r="V30" s="15">
        <f t="shared" si="6"/>
        <v>67</v>
      </c>
      <c r="W30" s="14">
        <f>V30*78</f>
        <v>5226</v>
      </c>
      <c r="X30" s="16"/>
      <c r="Y30" s="16"/>
      <c r="Z30" s="16" t="s">
        <v>65</v>
      </c>
      <c r="AA30" s="16">
        <v>20</v>
      </c>
      <c r="AB30" s="16"/>
      <c r="AC30" s="16">
        <v>15</v>
      </c>
      <c r="AD30" s="15">
        <f t="shared" si="7"/>
        <v>35</v>
      </c>
      <c r="AE30" s="14">
        <f>AD30*78</f>
        <v>2730</v>
      </c>
      <c r="AF30" s="16">
        <v>1</v>
      </c>
      <c r="AG30" s="16">
        <v>35</v>
      </c>
      <c r="AH30" s="16">
        <v>10</v>
      </c>
      <c r="AI30" s="16">
        <v>15</v>
      </c>
      <c r="AJ30" s="16">
        <v>10</v>
      </c>
      <c r="AK30" s="15">
        <f t="shared" si="8"/>
        <v>71</v>
      </c>
      <c r="AL30" s="14">
        <f>AK30*78</f>
        <v>5538</v>
      </c>
    </row>
    <row r="31" spans="2:42" x14ac:dyDescent="0.3">
      <c r="B31" s="42" t="s">
        <v>32</v>
      </c>
      <c r="C31" s="16"/>
      <c r="D31" s="16"/>
      <c r="E31" s="16" t="s">
        <v>65</v>
      </c>
      <c r="F31" s="15">
        <f t="shared" si="9"/>
        <v>0</v>
      </c>
      <c r="G31" s="14">
        <f>F31*70</f>
        <v>0</v>
      </c>
      <c r="H31" s="16"/>
      <c r="I31" s="16"/>
      <c r="J31" s="16"/>
      <c r="K31" s="16"/>
      <c r="L31" s="16" t="s">
        <v>65</v>
      </c>
      <c r="M31" s="16"/>
      <c r="N31" s="15">
        <f t="shared" si="5"/>
        <v>0</v>
      </c>
      <c r="O31" s="14">
        <f>N31*70</f>
        <v>0</v>
      </c>
      <c r="P31" s="16"/>
      <c r="Q31" s="16"/>
      <c r="R31" s="16"/>
      <c r="S31" s="16"/>
      <c r="T31" s="16"/>
      <c r="U31" s="16"/>
      <c r="V31" s="15">
        <f t="shared" si="6"/>
        <v>0</v>
      </c>
      <c r="W31" s="14">
        <f>V31*70</f>
        <v>0</v>
      </c>
      <c r="X31" s="16"/>
      <c r="Y31" s="16"/>
      <c r="Z31" s="16"/>
      <c r="AA31" s="16"/>
      <c r="AB31" s="16"/>
      <c r="AC31" s="16"/>
      <c r="AD31" s="15">
        <f t="shared" si="7"/>
        <v>0</v>
      </c>
      <c r="AE31" s="14">
        <f>AD31*70</f>
        <v>0</v>
      </c>
      <c r="AF31" s="16"/>
      <c r="AG31" s="16"/>
      <c r="AH31" s="16"/>
      <c r="AI31" s="16" t="s">
        <v>65</v>
      </c>
      <c r="AJ31" s="16" t="s">
        <v>65</v>
      </c>
      <c r="AK31" s="15">
        <f t="shared" si="8"/>
        <v>0</v>
      </c>
      <c r="AL31" s="14">
        <f>AK31*70</f>
        <v>0</v>
      </c>
    </row>
    <row r="32" spans="2:42" x14ac:dyDescent="0.3">
      <c r="B32" s="42" t="s">
        <v>31</v>
      </c>
      <c r="C32" s="16"/>
      <c r="D32" s="16"/>
      <c r="E32" s="16" t="s">
        <v>65</v>
      </c>
      <c r="F32" s="15">
        <f t="shared" si="9"/>
        <v>0</v>
      </c>
      <c r="G32" s="14">
        <f>F32*60</f>
        <v>0</v>
      </c>
      <c r="H32" s="16"/>
      <c r="I32" s="16"/>
      <c r="J32" s="16"/>
      <c r="K32" s="16"/>
      <c r="L32" s="16" t="s">
        <v>65</v>
      </c>
      <c r="M32" s="16"/>
      <c r="N32" s="15">
        <f t="shared" si="5"/>
        <v>0</v>
      </c>
      <c r="O32" s="14">
        <f>N32*60</f>
        <v>0</v>
      </c>
      <c r="P32" s="16"/>
      <c r="Q32" s="16"/>
      <c r="R32" s="16"/>
      <c r="S32" s="16"/>
      <c r="T32" s="16"/>
      <c r="U32" s="16"/>
      <c r="V32" s="15">
        <f t="shared" si="6"/>
        <v>0</v>
      </c>
      <c r="W32" s="14">
        <f>V32*60</f>
        <v>0</v>
      </c>
      <c r="X32" s="16"/>
      <c r="Y32" s="16"/>
      <c r="Z32" s="16"/>
      <c r="AA32" s="16"/>
      <c r="AB32" s="16"/>
      <c r="AC32" s="16"/>
      <c r="AD32" s="15">
        <f t="shared" si="7"/>
        <v>0</v>
      </c>
      <c r="AE32" s="14">
        <f>AD32*60</f>
        <v>0</v>
      </c>
      <c r="AF32" s="16"/>
      <c r="AG32" s="16"/>
      <c r="AH32" s="16"/>
      <c r="AI32" s="16" t="s">
        <v>65</v>
      </c>
      <c r="AJ32" s="16" t="s">
        <v>65</v>
      </c>
      <c r="AK32" s="15">
        <f t="shared" si="8"/>
        <v>0</v>
      </c>
      <c r="AL32" s="14">
        <f>AK32*60</f>
        <v>0</v>
      </c>
    </row>
    <row r="33" spans="2:42" x14ac:dyDescent="0.3">
      <c r="B33" s="42" t="s">
        <v>30</v>
      </c>
      <c r="C33" s="16"/>
      <c r="D33" s="16"/>
      <c r="E33" s="16" t="s">
        <v>65</v>
      </c>
      <c r="F33" s="15">
        <f t="shared" si="9"/>
        <v>0</v>
      </c>
      <c r="G33" s="14">
        <f>F33*60</f>
        <v>0</v>
      </c>
      <c r="H33" s="16"/>
      <c r="I33" s="16"/>
      <c r="J33" s="16"/>
      <c r="K33" s="16"/>
      <c r="L33" s="16" t="s">
        <v>65</v>
      </c>
      <c r="M33" s="16"/>
      <c r="N33" s="15">
        <f t="shared" si="5"/>
        <v>0</v>
      </c>
      <c r="O33" s="14">
        <f>N33*60</f>
        <v>0</v>
      </c>
      <c r="P33" s="16"/>
      <c r="Q33" s="16"/>
      <c r="R33" s="16"/>
      <c r="S33" s="16"/>
      <c r="T33" s="16"/>
      <c r="U33" s="16"/>
      <c r="V33" s="15">
        <f t="shared" si="6"/>
        <v>0</v>
      </c>
      <c r="W33" s="14">
        <f>V33*60</f>
        <v>0</v>
      </c>
      <c r="X33" s="16"/>
      <c r="Y33" s="16"/>
      <c r="Z33" s="16"/>
      <c r="AA33" s="16"/>
      <c r="AB33" s="16"/>
      <c r="AC33" s="16"/>
      <c r="AD33" s="15">
        <f t="shared" si="7"/>
        <v>0</v>
      </c>
      <c r="AE33" s="14">
        <f>AD33*60</f>
        <v>0</v>
      </c>
      <c r="AF33" s="16"/>
      <c r="AG33" s="16"/>
      <c r="AH33" s="16"/>
      <c r="AI33" s="16" t="s">
        <v>65</v>
      </c>
      <c r="AJ33" s="16" t="s">
        <v>65</v>
      </c>
      <c r="AK33" s="15">
        <f t="shared" si="8"/>
        <v>0</v>
      </c>
      <c r="AL33" s="14">
        <f>AK33*60</f>
        <v>0</v>
      </c>
    </row>
    <row r="34" spans="2:42" x14ac:dyDescent="0.3">
      <c r="B34" s="42" t="s">
        <v>29</v>
      </c>
      <c r="C34" s="16"/>
      <c r="D34" s="16"/>
      <c r="E34" s="16" t="s">
        <v>65</v>
      </c>
      <c r="F34" s="15">
        <f t="shared" si="9"/>
        <v>0</v>
      </c>
      <c r="G34" s="14">
        <f>F34*40</f>
        <v>0</v>
      </c>
      <c r="H34" s="16"/>
      <c r="I34" s="16"/>
      <c r="J34" s="16"/>
      <c r="K34" s="16"/>
      <c r="L34" s="16" t="s">
        <v>65</v>
      </c>
      <c r="M34" s="16"/>
      <c r="N34" s="15">
        <f t="shared" si="5"/>
        <v>0</v>
      </c>
      <c r="O34" s="14">
        <f>N34*40</f>
        <v>0</v>
      </c>
      <c r="P34" s="16"/>
      <c r="Q34" s="16"/>
      <c r="R34" s="16"/>
      <c r="S34" s="16"/>
      <c r="T34" s="16"/>
      <c r="U34" s="16"/>
      <c r="V34" s="15">
        <f t="shared" si="6"/>
        <v>0</v>
      </c>
      <c r="W34" s="14">
        <f>V34*40</f>
        <v>0</v>
      </c>
      <c r="X34" s="16"/>
      <c r="Y34" s="16"/>
      <c r="Z34" s="16"/>
      <c r="AA34" s="16"/>
      <c r="AB34" s="16"/>
      <c r="AC34" s="16"/>
      <c r="AD34" s="15">
        <f t="shared" si="7"/>
        <v>0</v>
      </c>
      <c r="AE34" s="14">
        <f>AD34*40</f>
        <v>0</v>
      </c>
      <c r="AF34" s="16"/>
      <c r="AG34" s="16"/>
      <c r="AH34" s="16"/>
      <c r="AI34" s="16" t="s">
        <v>65</v>
      </c>
      <c r="AJ34" s="16" t="s">
        <v>65</v>
      </c>
      <c r="AK34" s="15">
        <f t="shared" si="8"/>
        <v>0</v>
      </c>
      <c r="AL34" s="14">
        <f>AK34*40</f>
        <v>0</v>
      </c>
    </row>
    <row r="35" spans="2:42" x14ac:dyDescent="0.3">
      <c r="B35" s="42" t="s">
        <v>28</v>
      </c>
      <c r="C35" s="16"/>
      <c r="D35" s="16">
        <v>8</v>
      </c>
      <c r="E35" s="16" t="s">
        <v>65</v>
      </c>
      <c r="F35" s="15">
        <f t="shared" si="9"/>
        <v>8</v>
      </c>
      <c r="G35" s="14">
        <f>F35*40</f>
        <v>320</v>
      </c>
      <c r="H35" s="16"/>
      <c r="I35" s="16"/>
      <c r="J35" s="16"/>
      <c r="K35" s="16">
        <v>4</v>
      </c>
      <c r="L35" s="16">
        <v>70</v>
      </c>
      <c r="M35" s="16">
        <v>26</v>
      </c>
      <c r="N35" s="15">
        <f t="shared" si="5"/>
        <v>100</v>
      </c>
      <c r="O35" s="14">
        <f>N35*40</f>
        <v>4000</v>
      </c>
      <c r="P35" s="16">
        <v>25</v>
      </c>
      <c r="Q35" s="16"/>
      <c r="R35" s="16">
        <v>10</v>
      </c>
      <c r="S35" s="16">
        <v>10</v>
      </c>
      <c r="T35" s="16">
        <v>5</v>
      </c>
      <c r="U35" s="16"/>
      <c r="V35" s="15">
        <f t="shared" si="6"/>
        <v>50</v>
      </c>
      <c r="W35" s="14">
        <f>V35*40</f>
        <v>2000</v>
      </c>
      <c r="X35" s="16">
        <v>5</v>
      </c>
      <c r="Y35" s="16"/>
      <c r="Z35" s="16"/>
      <c r="AA35" s="16">
        <v>10</v>
      </c>
      <c r="AB35" s="16">
        <v>10</v>
      </c>
      <c r="AC35" s="16"/>
      <c r="AD35" s="15">
        <f t="shared" si="7"/>
        <v>25</v>
      </c>
      <c r="AE35" s="14">
        <f>AD35*40</f>
        <v>1000</v>
      </c>
      <c r="AF35" s="16">
        <v>1</v>
      </c>
      <c r="AG35" s="16">
        <v>40</v>
      </c>
      <c r="AH35" s="16">
        <v>20</v>
      </c>
      <c r="AI35" s="16" t="s">
        <v>65</v>
      </c>
      <c r="AJ35" s="16" t="s">
        <v>65</v>
      </c>
      <c r="AK35" s="15">
        <f t="shared" si="8"/>
        <v>61</v>
      </c>
      <c r="AL35" s="14">
        <f>AK35*40</f>
        <v>2440</v>
      </c>
    </row>
    <row r="36" spans="2:42" x14ac:dyDescent="0.3">
      <c r="B36" s="42" t="s">
        <v>27</v>
      </c>
      <c r="C36" s="16"/>
      <c r="D36" s="16"/>
      <c r="E36" s="16" t="s">
        <v>65</v>
      </c>
      <c r="F36" s="15">
        <f t="shared" si="9"/>
        <v>0</v>
      </c>
      <c r="G36" s="14">
        <f>F36*76</f>
        <v>0</v>
      </c>
      <c r="H36" s="16"/>
      <c r="I36" s="16"/>
      <c r="J36" s="16"/>
      <c r="K36" s="16"/>
      <c r="L36" s="16">
        <v>47</v>
      </c>
      <c r="M36" s="16"/>
      <c r="N36" s="15">
        <f t="shared" si="5"/>
        <v>47</v>
      </c>
      <c r="O36" s="14">
        <f>N36*76</f>
        <v>3572</v>
      </c>
      <c r="P36" s="16"/>
      <c r="Q36" s="16"/>
      <c r="R36" s="16"/>
      <c r="S36" s="16"/>
      <c r="T36" s="16"/>
      <c r="U36" s="16"/>
      <c r="V36" s="15">
        <f t="shared" si="6"/>
        <v>0</v>
      </c>
      <c r="W36" s="14">
        <f>V36*76</f>
        <v>0</v>
      </c>
      <c r="X36" s="16"/>
      <c r="Y36" s="16"/>
      <c r="Z36" s="16"/>
      <c r="AA36" s="16"/>
      <c r="AB36" s="16"/>
      <c r="AC36" s="16"/>
      <c r="AD36" s="15">
        <f t="shared" si="7"/>
        <v>0</v>
      </c>
      <c r="AE36" s="14">
        <f>AD36*76</f>
        <v>0</v>
      </c>
      <c r="AF36" s="16"/>
      <c r="AG36" s="16"/>
      <c r="AH36" s="16"/>
      <c r="AI36" s="16">
        <v>30</v>
      </c>
      <c r="AJ36" s="16"/>
      <c r="AK36" s="15">
        <f t="shared" si="8"/>
        <v>30</v>
      </c>
      <c r="AL36" s="14">
        <f>AK36*76</f>
        <v>2280</v>
      </c>
    </row>
    <row r="37" spans="2:42" x14ac:dyDescent="0.3">
      <c r="B37" s="42" t="s">
        <v>26</v>
      </c>
      <c r="C37" s="16"/>
      <c r="D37" s="16"/>
      <c r="E37" s="16" t="s">
        <v>65</v>
      </c>
      <c r="F37" s="15">
        <f t="shared" si="9"/>
        <v>0</v>
      </c>
      <c r="G37" s="14">
        <f>F37*90</f>
        <v>0</v>
      </c>
      <c r="H37" s="16"/>
      <c r="I37" s="16"/>
      <c r="J37" s="16"/>
      <c r="K37" s="16"/>
      <c r="L37" s="16"/>
      <c r="M37" s="16"/>
      <c r="N37" s="15">
        <f t="shared" si="5"/>
        <v>0</v>
      </c>
      <c r="O37" s="14">
        <f>N37*90</f>
        <v>0</v>
      </c>
      <c r="P37" s="16"/>
      <c r="Q37" s="16"/>
      <c r="R37" s="16"/>
      <c r="S37" s="16"/>
      <c r="T37" s="16"/>
      <c r="U37" s="16"/>
      <c r="V37" s="15">
        <f t="shared" si="6"/>
        <v>0</v>
      </c>
      <c r="W37" s="14">
        <f>V37*90</f>
        <v>0</v>
      </c>
      <c r="X37" s="16"/>
      <c r="Y37" s="16"/>
      <c r="Z37" s="16"/>
      <c r="AA37" s="16"/>
      <c r="AB37" s="16"/>
      <c r="AC37" s="16"/>
      <c r="AD37" s="15">
        <f t="shared" si="7"/>
        <v>0</v>
      </c>
      <c r="AE37" s="14">
        <f>AD37*90</f>
        <v>0</v>
      </c>
      <c r="AF37" s="16"/>
      <c r="AG37" s="16"/>
      <c r="AH37" s="16"/>
      <c r="AI37" s="16" t="s">
        <v>65</v>
      </c>
      <c r="AJ37" s="16" t="s">
        <v>65</v>
      </c>
      <c r="AK37" s="15">
        <f t="shared" si="8"/>
        <v>0</v>
      </c>
      <c r="AL37" s="14">
        <f>AK37*90</f>
        <v>0</v>
      </c>
    </row>
    <row r="38" spans="2:42" x14ac:dyDescent="0.3">
      <c r="B38" s="42" t="s">
        <v>25</v>
      </c>
      <c r="C38" s="16"/>
      <c r="D38" s="16"/>
      <c r="E38" s="16" t="s">
        <v>65</v>
      </c>
      <c r="F38" s="15">
        <f t="shared" si="9"/>
        <v>0</v>
      </c>
      <c r="G38" s="14">
        <f>F38*91</f>
        <v>0</v>
      </c>
      <c r="H38" s="16"/>
      <c r="I38" s="16"/>
      <c r="J38" s="16"/>
      <c r="K38" s="16"/>
      <c r="L38" s="16"/>
      <c r="M38" s="16"/>
      <c r="N38" s="15">
        <f t="shared" si="5"/>
        <v>0</v>
      </c>
      <c r="O38" s="14">
        <f>N38*91</f>
        <v>0</v>
      </c>
      <c r="P38" s="16"/>
      <c r="Q38" s="16"/>
      <c r="R38" s="16"/>
      <c r="S38" s="16"/>
      <c r="T38" s="16"/>
      <c r="U38" s="16"/>
      <c r="V38" s="15">
        <f t="shared" si="6"/>
        <v>0</v>
      </c>
      <c r="W38" s="14">
        <f>V38*91</f>
        <v>0</v>
      </c>
      <c r="X38" s="16"/>
      <c r="Y38" s="16"/>
      <c r="Z38" s="16"/>
      <c r="AA38" s="16"/>
      <c r="AB38" s="20"/>
      <c r="AC38" s="16"/>
      <c r="AD38" s="15">
        <f t="shared" si="7"/>
        <v>0</v>
      </c>
      <c r="AE38" s="14">
        <f>AD38*91</f>
        <v>0</v>
      </c>
      <c r="AF38" s="16"/>
      <c r="AG38" s="16"/>
      <c r="AH38" s="16"/>
      <c r="AI38" s="16" t="s">
        <v>65</v>
      </c>
      <c r="AJ38" s="16" t="s">
        <v>65</v>
      </c>
      <c r="AK38" s="15">
        <f t="shared" si="8"/>
        <v>0</v>
      </c>
      <c r="AL38" s="14">
        <f>AK38*91</f>
        <v>0</v>
      </c>
    </row>
    <row r="39" spans="2:42" x14ac:dyDescent="0.3">
      <c r="B39" s="42" t="s">
        <v>24</v>
      </c>
      <c r="C39" s="16"/>
      <c r="D39" s="16"/>
      <c r="E39" s="16" t="s">
        <v>65</v>
      </c>
      <c r="F39" s="15">
        <f t="shared" si="9"/>
        <v>0</v>
      </c>
      <c r="G39" s="14">
        <f>F39*90</f>
        <v>0</v>
      </c>
      <c r="H39" s="16"/>
      <c r="I39" s="16"/>
      <c r="J39" s="16"/>
      <c r="K39" s="16"/>
      <c r="L39" s="16"/>
      <c r="M39" s="16"/>
      <c r="N39" s="15">
        <f t="shared" si="5"/>
        <v>0</v>
      </c>
      <c r="O39" s="14">
        <f>N39*90</f>
        <v>0</v>
      </c>
      <c r="P39" s="16"/>
      <c r="Q39" s="16"/>
      <c r="R39" s="16"/>
      <c r="S39" s="16"/>
      <c r="T39" s="16"/>
      <c r="U39" s="16"/>
      <c r="V39" s="15">
        <f t="shared" si="6"/>
        <v>0</v>
      </c>
      <c r="W39" s="14">
        <f>V39*90</f>
        <v>0</v>
      </c>
      <c r="X39" s="16"/>
      <c r="Y39" s="16"/>
      <c r="Z39" s="16"/>
      <c r="AA39" s="16"/>
      <c r="AB39" s="16"/>
      <c r="AC39" s="16"/>
      <c r="AD39" s="15">
        <f t="shared" si="7"/>
        <v>0</v>
      </c>
      <c r="AE39" s="14">
        <f>AD39*90</f>
        <v>0</v>
      </c>
      <c r="AF39" s="16"/>
      <c r="AG39" s="16"/>
      <c r="AH39" s="16"/>
      <c r="AI39" s="16"/>
      <c r="AJ39" s="16"/>
      <c r="AK39" s="15">
        <f t="shared" si="8"/>
        <v>0</v>
      </c>
      <c r="AL39" s="14">
        <f>AK39*90</f>
        <v>0</v>
      </c>
    </row>
    <row r="40" spans="2:42" x14ac:dyDescent="0.3">
      <c r="B40" s="42" t="s">
        <v>23</v>
      </c>
      <c r="C40" s="16"/>
      <c r="D40" s="16"/>
      <c r="E40" s="16" t="s">
        <v>65</v>
      </c>
      <c r="F40" s="15">
        <f t="shared" si="9"/>
        <v>0</v>
      </c>
      <c r="G40" s="14">
        <f>F40*76</f>
        <v>0</v>
      </c>
      <c r="H40" s="16"/>
      <c r="I40" s="16"/>
      <c r="J40" s="16"/>
      <c r="K40" s="16"/>
      <c r="L40" s="16"/>
      <c r="M40" s="16"/>
      <c r="N40" s="15">
        <f t="shared" si="5"/>
        <v>0</v>
      </c>
      <c r="O40" s="14">
        <f>N40*76</f>
        <v>0</v>
      </c>
      <c r="P40" s="16"/>
      <c r="Q40" s="16"/>
      <c r="R40" s="16"/>
      <c r="S40" s="16"/>
      <c r="T40" s="16"/>
      <c r="U40" s="16"/>
      <c r="V40" s="15">
        <f t="shared" si="6"/>
        <v>0</v>
      </c>
      <c r="W40" s="14">
        <f>V40*76</f>
        <v>0</v>
      </c>
      <c r="X40" s="16"/>
      <c r="Y40" s="16"/>
      <c r="Z40" s="16"/>
      <c r="AA40" s="16"/>
      <c r="AB40" s="16"/>
      <c r="AC40" s="16"/>
      <c r="AD40" s="15">
        <f t="shared" si="7"/>
        <v>0</v>
      </c>
      <c r="AE40" s="14">
        <f>AD40*76</f>
        <v>0</v>
      </c>
      <c r="AF40" s="16"/>
      <c r="AG40" s="16"/>
      <c r="AH40" s="16"/>
      <c r="AI40" s="16"/>
      <c r="AJ40" s="16"/>
      <c r="AK40" s="15">
        <f t="shared" si="8"/>
        <v>0</v>
      </c>
      <c r="AL40" s="14">
        <f>AK40*76</f>
        <v>0</v>
      </c>
    </row>
    <row r="41" spans="2:42" x14ac:dyDescent="0.3">
      <c r="B41" s="42" t="s">
        <v>22</v>
      </c>
      <c r="C41" s="16"/>
      <c r="D41" s="16"/>
      <c r="E41" s="16" t="s">
        <v>65</v>
      </c>
      <c r="F41" s="15">
        <f t="shared" si="9"/>
        <v>0</v>
      </c>
      <c r="G41" s="14">
        <f>F41*100</f>
        <v>0</v>
      </c>
      <c r="H41" s="16"/>
      <c r="I41" s="16"/>
      <c r="J41" s="16"/>
      <c r="K41" s="16">
        <v>12</v>
      </c>
      <c r="L41" s="16"/>
      <c r="M41" s="16"/>
      <c r="N41" s="15">
        <f t="shared" si="5"/>
        <v>12</v>
      </c>
      <c r="O41" s="14">
        <f>N41*100</f>
        <v>1200</v>
      </c>
      <c r="P41" s="16"/>
      <c r="Q41" s="16"/>
      <c r="R41" s="16"/>
      <c r="S41" s="16"/>
      <c r="T41" s="16"/>
      <c r="U41" s="16"/>
      <c r="V41" s="15">
        <f t="shared" si="6"/>
        <v>0</v>
      </c>
      <c r="W41" s="14">
        <f>V41*100</f>
        <v>0</v>
      </c>
      <c r="X41" s="16"/>
      <c r="Y41" s="16"/>
      <c r="Z41" s="16"/>
      <c r="AA41" s="16"/>
      <c r="AB41" s="16"/>
      <c r="AC41" s="16"/>
      <c r="AD41" s="15">
        <f t="shared" si="7"/>
        <v>0</v>
      </c>
      <c r="AE41" s="14">
        <f>AD41*100</f>
        <v>0</v>
      </c>
      <c r="AF41" s="16"/>
      <c r="AG41" s="16"/>
      <c r="AH41" s="16"/>
      <c r="AI41" s="16"/>
      <c r="AJ41" s="16"/>
      <c r="AK41" s="15">
        <f t="shared" si="8"/>
        <v>0</v>
      </c>
      <c r="AL41" s="14">
        <f>AK41*100</f>
        <v>0</v>
      </c>
    </row>
    <row r="42" spans="2:42" x14ac:dyDescent="0.3">
      <c r="B42" s="42" t="s">
        <v>21</v>
      </c>
      <c r="C42" s="16"/>
      <c r="D42" s="16"/>
      <c r="E42" s="16" t="s">
        <v>65</v>
      </c>
      <c r="F42" s="15">
        <f t="shared" si="9"/>
        <v>0</v>
      </c>
      <c r="G42" s="14">
        <f>F42*100</f>
        <v>0</v>
      </c>
      <c r="H42" s="16"/>
      <c r="I42" s="16"/>
      <c r="J42" s="16"/>
      <c r="K42" s="16">
        <v>12</v>
      </c>
      <c r="L42" s="16"/>
      <c r="M42" s="16"/>
      <c r="N42" s="15">
        <f t="shared" si="5"/>
        <v>12</v>
      </c>
      <c r="O42" s="14">
        <f>N42*100</f>
        <v>1200</v>
      </c>
      <c r="P42" s="16"/>
      <c r="Q42" s="16"/>
      <c r="R42" s="16"/>
      <c r="S42" s="16"/>
      <c r="T42" s="16"/>
      <c r="U42" s="16"/>
      <c r="V42" s="15">
        <f t="shared" si="6"/>
        <v>0</v>
      </c>
      <c r="W42" s="14">
        <f>V42*100</f>
        <v>0</v>
      </c>
      <c r="X42" s="16"/>
      <c r="Y42" s="16"/>
      <c r="Z42" s="16"/>
      <c r="AA42" s="16"/>
      <c r="AB42" s="16"/>
      <c r="AC42" s="16"/>
      <c r="AD42" s="15">
        <f t="shared" si="7"/>
        <v>0</v>
      </c>
      <c r="AE42" s="14">
        <f>AD42*100</f>
        <v>0</v>
      </c>
      <c r="AF42" s="16"/>
      <c r="AG42" s="16"/>
      <c r="AH42" s="16"/>
      <c r="AI42" s="16"/>
      <c r="AJ42" s="16"/>
      <c r="AK42" s="15">
        <f t="shared" si="8"/>
        <v>0</v>
      </c>
      <c r="AL42" s="14">
        <f>AK42*100</f>
        <v>0</v>
      </c>
    </row>
    <row r="43" spans="2:42" x14ac:dyDescent="0.3">
      <c r="B43" s="42" t="s">
        <v>20</v>
      </c>
      <c r="C43" s="16"/>
      <c r="D43" s="16"/>
      <c r="E43" s="16" t="s">
        <v>65</v>
      </c>
      <c r="F43" s="15">
        <f t="shared" si="9"/>
        <v>0</v>
      </c>
      <c r="G43" s="14">
        <f>F43*78</f>
        <v>0</v>
      </c>
      <c r="H43" s="16"/>
      <c r="I43" s="16"/>
      <c r="J43" s="16"/>
      <c r="K43" s="16"/>
      <c r="L43" s="16"/>
      <c r="M43" s="16">
        <v>6</v>
      </c>
      <c r="N43" s="15">
        <f t="shared" si="5"/>
        <v>6</v>
      </c>
      <c r="O43" s="14">
        <f>N43*78</f>
        <v>468</v>
      </c>
      <c r="P43" s="16"/>
      <c r="Q43" s="16"/>
      <c r="R43" s="16"/>
      <c r="S43" s="16"/>
      <c r="T43" s="16"/>
      <c r="U43" s="16"/>
      <c r="V43" s="15">
        <f t="shared" si="6"/>
        <v>0</v>
      </c>
      <c r="W43" s="14">
        <f>V43*78</f>
        <v>0</v>
      </c>
      <c r="X43" s="16"/>
      <c r="Y43" s="16"/>
      <c r="Z43" s="16"/>
      <c r="AA43" s="16"/>
      <c r="AB43" s="16"/>
      <c r="AC43" s="16"/>
      <c r="AD43" s="15">
        <f t="shared" si="7"/>
        <v>0</v>
      </c>
      <c r="AE43" s="14">
        <f>AD43*78</f>
        <v>0</v>
      </c>
      <c r="AF43" s="16"/>
      <c r="AG43" s="16"/>
      <c r="AH43" s="16"/>
      <c r="AI43" s="16"/>
      <c r="AJ43" s="16"/>
      <c r="AK43" s="15">
        <f t="shared" si="8"/>
        <v>0</v>
      </c>
      <c r="AL43" s="14">
        <f>AK43*78</f>
        <v>0</v>
      </c>
    </row>
    <row r="44" spans="2:42" ht="15.6" x14ac:dyDescent="0.3">
      <c r="B44" s="17" t="s">
        <v>19</v>
      </c>
      <c r="C44" s="16"/>
      <c r="D44" s="16" t="s">
        <v>65</v>
      </c>
      <c r="E44" s="16" t="s">
        <v>65</v>
      </c>
      <c r="F44" s="15">
        <f t="shared" si="9"/>
        <v>0</v>
      </c>
      <c r="G44" s="14">
        <f>F44*103</f>
        <v>0</v>
      </c>
      <c r="H44" s="16">
        <v>18</v>
      </c>
      <c r="I44" s="16">
        <v>1</v>
      </c>
      <c r="J44" s="16">
        <v>90</v>
      </c>
      <c r="K44" s="16"/>
      <c r="L44" s="16"/>
      <c r="M44" s="16"/>
      <c r="N44" s="15">
        <f t="shared" si="5"/>
        <v>109</v>
      </c>
      <c r="O44" s="14">
        <f>N44*106</f>
        <v>11554</v>
      </c>
      <c r="P44" s="16"/>
      <c r="Q44" s="16"/>
      <c r="R44" s="16"/>
      <c r="S44" s="16"/>
      <c r="T44" s="16"/>
      <c r="U44" s="16"/>
      <c r="V44" s="15">
        <f t="shared" si="6"/>
        <v>0</v>
      </c>
      <c r="W44" s="14">
        <f>V44*105</f>
        <v>0</v>
      </c>
      <c r="X44" s="16"/>
      <c r="Y44" s="16"/>
      <c r="Z44" s="16"/>
      <c r="AA44" s="16"/>
      <c r="AB44" s="16">
        <v>50</v>
      </c>
      <c r="AC44" s="16"/>
      <c r="AD44" s="15">
        <f t="shared" si="7"/>
        <v>50</v>
      </c>
      <c r="AE44" s="14">
        <f>AD44*102</f>
        <v>5100</v>
      </c>
      <c r="AF44" s="16"/>
      <c r="AG44" s="16"/>
      <c r="AH44" s="16"/>
      <c r="AI44" s="16"/>
      <c r="AJ44" s="16">
        <v>70</v>
      </c>
      <c r="AK44" s="15">
        <f t="shared" si="8"/>
        <v>70</v>
      </c>
      <c r="AL44" s="14">
        <f>AK44*101</f>
        <v>7070</v>
      </c>
      <c r="AN44" s="41"/>
      <c r="AO44" s="40"/>
    </row>
    <row r="45" spans="2:42" x14ac:dyDescent="0.3">
      <c r="B45" s="17" t="s">
        <v>18</v>
      </c>
      <c r="C45" s="16"/>
      <c r="D45" s="16">
        <v>30</v>
      </c>
      <c r="E45" s="16">
        <v>31</v>
      </c>
      <c r="F45" s="15">
        <f t="shared" si="9"/>
        <v>61</v>
      </c>
      <c r="G45" s="14">
        <f>F45*105</f>
        <v>6405</v>
      </c>
      <c r="H45" s="16"/>
      <c r="I45" s="16"/>
      <c r="J45" s="16"/>
      <c r="K45" s="16"/>
      <c r="L45" s="16">
        <v>50</v>
      </c>
      <c r="M45" s="16"/>
      <c r="N45" s="15">
        <f>SUM(H45:M45)</f>
        <v>50</v>
      </c>
      <c r="O45" s="14">
        <f>N45*108</f>
        <v>5400</v>
      </c>
      <c r="P45" s="16"/>
      <c r="Q45" s="16"/>
      <c r="R45" s="16"/>
      <c r="S45" s="16"/>
      <c r="T45" s="16">
        <v>85</v>
      </c>
      <c r="U45" s="16"/>
      <c r="V45" s="15">
        <f t="shared" si="6"/>
        <v>85</v>
      </c>
      <c r="W45" s="14">
        <f>V45*107</f>
        <v>9095</v>
      </c>
      <c r="X45" s="16"/>
      <c r="Y45" s="16">
        <v>73</v>
      </c>
      <c r="Z45" s="16">
        <v>20</v>
      </c>
      <c r="AA45" s="16"/>
      <c r="AB45" s="16" t="s">
        <v>65</v>
      </c>
      <c r="AC45" s="16"/>
      <c r="AD45" s="15">
        <f t="shared" si="7"/>
        <v>93</v>
      </c>
      <c r="AE45" s="14">
        <f>AD45*104</f>
        <v>9672</v>
      </c>
      <c r="AF45" s="16">
        <v>63</v>
      </c>
      <c r="AG45" s="16"/>
      <c r="AH45" s="16">
        <v>23</v>
      </c>
      <c r="AI45" s="16"/>
      <c r="AJ45" s="16"/>
      <c r="AK45" s="15">
        <f t="shared" si="8"/>
        <v>86</v>
      </c>
      <c r="AL45" s="14">
        <f>AK45*103</f>
        <v>8858</v>
      </c>
    </row>
    <row r="46" spans="2:42" x14ac:dyDescent="0.3">
      <c r="B46" s="17" t="s">
        <v>17</v>
      </c>
      <c r="C46" s="16"/>
      <c r="D46" s="16"/>
      <c r="E46" s="16">
        <v>25</v>
      </c>
      <c r="F46" s="15">
        <f t="shared" si="9"/>
        <v>25</v>
      </c>
      <c r="G46" s="14">
        <f>F46*103</f>
        <v>2575</v>
      </c>
      <c r="H46" s="16"/>
      <c r="I46" s="16">
        <v>4</v>
      </c>
      <c r="J46" s="16">
        <v>20</v>
      </c>
      <c r="K46" s="16">
        <v>12</v>
      </c>
      <c r="L46" s="16">
        <v>5</v>
      </c>
      <c r="M46" s="16">
        <v>1</v>
      </c>
      <c r="N46" s="15">
        <f t="shared" si="5"/>
        <v>42</v>
      </c>
      <c r="O46" s="14">
        <f>N46*106</f>
        <v>4452</v>
      </c>
      <c r="P46" s="16">
        <v>23</v>
      </c>
      <c r="Q46" s="16">
        <v>3</v>
      </c>
      <c r="R46" s="16"/>
      <c r="S46" s="16">
        <v>2</v>
      </c>
      <c r="T46" s="16">
        <v>5</v>
      </c>
      <c r="U46" s="16"/>
      <c r="V46" s="15">
        <f t="shared" si="6"/>
        <v>33</v>
      </c>
      <c r="W46" s="14">
        <f>V46*105</f>
        <v>3465</v>
      </c>
      <c r="X46" s="16">
        <v>20</v>
      </c>
      <c r="Y46" s="16">
        <v>2</v>
      </c>
      <c r="Z46" s="16">
        <v>20</v>
      </c>
      <c r="AA46" s="16"/>
      <c r="AB46" s="16">
        <v>20</v>
      </c>
      <c r="AC46" s="16"/>
      <c r="AD46" s="15">
        <f t="shared" si="7"/>
        <v>62</v>
      </c>
      <c r="AE46" s="14">
        <f>AD46*102</f>
        <v>6324</v>
      </c>
      <c r="AF46" s="16">
        <v>2</v>
      </c>
      <c r="AG46" s="16"/>
      <c r="AH46" s="16"/>
      <c r="AI46" s="16">
        <v>25</v>
      </c>
      <c r="AJ46" s="16"/>
      <c r="AK46" s="15">
        <f t="shared" si="8"/>
        <v>27</v>
      </c>
      <c r="AL46" s="14">
        <f>AK46*101</f>
        <v>2727</v>
      </c>
    </row>
    <row r="47" spans="2:42" x14ac:dyDescent="0.3">
      <c r="B47" s="17" t="s">
        <v>14</v>
      </c>
      <c r="C47" s="16">
        <v>10</v>
      </c>
      <c r="D47" s="16">
        <v>45</v>
      </c>
      <c r="E47" s="16">
        <v>36</v>
      </c>
      <c r="F47" s="15">
        <f>SUM(C47:E47)</f>
        <v>91</v>
      </c>
      <c r="G47" s="14">
        <f>F47*58</f>
        <v>5278</v>
      </c>
      <c r="H47" s="16">
        <v>11</v>
      </c>
      <c r="I47" s="16">
        <v>23</v>
      </c>
      <c r="J47" s="16">
        <v>30</v>
      </c>
      <c r="K47" s="16">
        <v>10</v>
      </c>
      <c r="L47" s="16">
        <v>60</v>
      </c>
      <c r="M47" s="16"/>
      <c r="N47" s="15">
        <f>SUM(H47:M47)</f>
        <v>134</v>
      </c>
      <c r="O47" s="14">
        <f>N47*58</f>
        <v>7772</v>
      </c>
      <c r="P47" s="16">
        <v>24</v>
      </c>
      <c r="Q47" s="16">
        <v>21</v>
      </c>
      <c r="R47" s="16"/>
      <c r="S47" s="16">
        <v>11</v>
      </c>
      <c r="T47" s="16">
        <v>43</v>
      </c>
      <c r="U47" s="16">
        <v>70</v>
      </c>
      <c r="V47" s="15">
        <f t="shared" si="6"/>
        <v>169</v>
      </c>
      <c r="W47" s="14">
        <f>V47*58</f>
        <v>9802</v>
      </c>
      <c r="X47" s="16">
        <v>52</v>
      </c>
      <c r="Y47" s="16">
        <v>30</v>
      </c>
      <c r="Z47" s="16">
        <v>20</v>
      </c>
      <c r="AA47" s="16"/>
      <c r="AB47" s="16">
        <v>27</v>
      </c>
      <c r="AC47" s="16"/>
      <c r="AD47" s="15">
        <f t="shared" si="7"/>
        <v>129</v>
      </c>
      <c r="AE47" s="14">
        <f>AD47*58</f>
        <v>7482</v>
      </c>
      <c r="AF47" s="16">
        <v>37</v>
      </c>
      <c r="AG47" s="16">
        <v>10</v>
      </c>
      <c r="AH47" s="16">
        <v>1</v>
      </c>
      <c r="AI47" s="16"/>
      <c r="AJ47" s="16">
        <v>35</v>
      </c>
      <c r="AK47" s="15">
        <f t="shared" si="8"/>
        <v>83</v>
      </c>
      <c r="AL47" s="14">
        <f>AK47*58</f>
        <v>4814</v>
      </c>
    </row>
    <row r="48" spans="2:42" ht="15.6" x14ac:dyDescent="0.3">
      <c r="C48" s="10"/>
      <c r="D48" s="10"/>
      <c r="E48" s="10"/>
      <c r="F48" s="39">
        <f>SUM(F20:F43)</f>
        <v>43</v>
      </c>
      <c r="G48" s="38">
        <f>SUM(G20:G43)</f>
        <v>3142</v>
      </c>
      <c r="H48" s="10"/>
      <c r="I48" s="10"/>
      <c r="J48" s="10"/>
      <c r="K48" s="10"/>
      <c r="L48" s="10"/>
      <c r="M48" s="10"/>
      <c r="N48" s="39">
        <f>SUM(N20:N43)</f>
        <v>453</v>
      </c>
      <c r="O48" s="38">
        <f>SUM(O20:O43)</f>
        <v>33365</v>
      </c>
      <c r="P48" s="10"/>
      <c r="Q48" s="10"/>
      <c r="R48" s="10"/>
      <c r="S48" s="10"/>
      <c r="T48" s="10"/>
      <c r="U48" s="10"/>
      <c r="V48" s="39">
        <f>SUM(V20:V43)</f>
        <v>493</v>
      </c>
      <c r="W48" s="38">
        <f>SUM(W20:W43)</f>
        <v>38888</v>
      </c>
      <c r="X48" s="10"/>
      <c r="Y48" s="10"/>
      <c r="Z48" s="10"/>
      <c r="AA48" s="10"/>
      <c r="AB48" s="10"/>
      <c r="AC48" s="10"/>
      <c r="AD48" s="39">
        <f>SUM(AD20:AD43)</f>
        <v>115</v>
      </c>
      <c r="AE48" s="38">
        <f>SUM(AE20:AE43)</f>
        <v>8375</v>
      </c>
      <c r="AF48" s="10"/>
      <c r="AG48" s="10"/>
      <c r="AH48" s="10"/>
      <c r="AI48" s="10"/>
      <c r="AJ48" s="10"/>
      <c r="AK48" s="39">
        <f>SUM(AK20:AK43)</f>
        <v>379</v>
      </c>
      <c r="AL48" s="38">
        <f>SUM(AL20:AL43)</f>
        <v>28536</v>
      </c>
      <c r="AN48" s="35" t="s">
        <v>15</v>
      </c>
      <c r="AO48" s="37">
        <f>F51+N51+V51+AD51+AK51</f>
        <v>793</v>
      </c>
      <c r="AP48" s="30">
        <f>AO49/AO48</f>
        <v>104.28373266078184</v>
      </c>
    </row>
    <row r="49" spans="2:42" ht="15.6" x14ac:dyDescent="0.3">
      <c r="C49" s="32"/>
      <c r="D49" s="32"/>
      <c r="E49" s="32"/>
      <c r="F49" s="36"/>
      <c r="G49" s="11"/>
      <c r="H49" s="32"/>
      <c r="I49" s="32"/>
      <c r="J49" s="32"/>
      <c r="K49" s="32"/>
      <c r="L49" s="32"/>
      <c r="M49" s="32"/>
      <c r="N49" s="36"/>
      <c r="O49" s="11"/>
      <c r="P49" s="32"/>
      <c r="Q49" s="32"/>
      <c r="R49" s="32"/>
      <c r="S49" s="32"/>
      <c r="T49" s="32"/>
      <c r="U49" s="32"/>
      <c r="V49" s="36"/>
      <c r="W49" s="11"/>
      <c r="X49" s="32"/>
      <c r="Y49" s="32"/>
      <c r="Z49" s="32"/>
      <c r="AA49" s="32"/>
      <c r="AB49" s="32"/>
      <c r="AC49" s="32"/>
      <c r="AD49" s="36"/>
      <c r="AE49" s="11"/>
      <c r="AF49" s="32"/>
      <c r="AG49" s="32"/>
      <c r="AH49" s="32"/>
      <c r="AI49" s="32"/>
      <c r="AJ49" s="32"/>
      <c r="AK49" s="36"/>
      <c r="AL49" s="11"/>
      <c r="AN49" s="35" t="s">
        <v>3</v>
      </c>
      <c r="AO49" s="34">
        <f>G51+O51+AE51+W51+AL51</f>
        <v>82697</v>
      </c>
    </row>
    <row r="50" spans="2:42" ht="15.6" x14ac:dyDescent="0.3">
      <c r="B50" s="29" t="s">
        <v>13</v>
      </c>
      <c r="C50" s="32"/>
      <c r="D50" s="32"/>
      <c r="E50" s="32"/>
      <c r="F50" s="4">
        <f>F48+F19</f>
        <v>561</v>
      </c>
      <c r="G50" s="28">
        <f>G48+G19</f>
        <v>41434</v>
      </c>
      <c r="H50" s="32"/>
      <c r="I50" s="32"/>
      <c r="J50" s="32"/>
      <c r="K50" s="32"/>
      <c r="L50" s="32"/>
      <c r="M50" s="5" t="s">
        <v>16</v>
      </c>
      <c r="N50" s="4">
        <f>N48+N19</f>
        <v>1453</v>
      </c>
      <c r="O50" s="28">
        <f>O48+O19</f>
        <v>101534</v>
      </c>
      <c r="P50" s="32"/>
      <c r="Q50" s="32"/>
      <c r="R50" s="32"/>
      <c r="S50" s="32"/>
      <c r="T50" s="32"/>
      <c r="U50" s="32"/>
      <c r="V50" s="4">
        <f>V48+V19</f>
        <v>1141</v>
      </c>
      <c r="W50" s="28">
        <f>W48+W19</f>
        <v>88510</v>
      </c>
      <c r="X50" s="32"/>
      <c r="Y50" s="32"/>
      <c r="Z50" s="32"/>
      <c r="AA50" s="32"/>
      <c r="AB50" s="32"/>
      <c r="AC50" s="32"/>
      <c r="AD50" s="4">
        <f>AD48+AD19</f>
        <v>1212</v>
      </c>
      <c r="AE50" s="28">
        <f>AE48+AE19</f>
        <v>86841</v>
      </c>
      <c r="AF50" s="32"/>
      <c r="AG50" s="32"/>
      <c r="AH50" s="32"/>
      <c r="AI50" s="32"/>
      <c r="AJ50" s="32"/>
      <c r="AK50" s="4">
        <f>AK48+AK19</f>
        <v>1625</v>
      </c>
      <c r="AL50" s="28">
        <f>AL48+AL19</f>
        <v>120827</v>
      </c>
    </row>
    <row r="51" spans="2:42" ht="15.6" x14ac:dyDescent="0.3">
      <c r="B51" s="29" t="s">
        <v>15</v>
      </c>
      <c r="C51" s="32"/>
      <c r="D51" s="32"/>
      <c r="E51" s="32"/>
      <c r="F51" s="4">
        <f>SUM(F44:F46)</f>
        <v>86</v>
      </c>
      <c r="G51" s="28">
        <f>SUM(G44:G46)</f>
        <v>8980</v>
      </c>
      <c r="H51" s="32"/>
      <c r="I51" s="32"/>
      <c r="J51" s="32"/>
      <c r="K51" s="32"/>
      <c r="L51" s="32"/>
      <c r="M51" s="33"/>
      <c r="N51" s="4">
        <f>SUM(N44:N46)</f>
        <v>201</v>
      </c>
      <c r="O51" s="28">
        <f>SUM(O44:O46)</f>
        <v>21406</v>
      </c>
      <c r="P51" s="32"/>
      <c r="Q51" s="32"/>
      <c r="R51" s="32"/>
      <c r="S51" s="32"/>
      <c r="T51" s="32"/>
      <c r="U51" s="32"/>
      <c r="V51" s="4">
        <f>SUM(V44:V46)</f>
        <v>118</v>
      </c>
      <c r="W51" s="28">
        <f>SUM(W44:W46)</f>
        <v>12560</v>
      </c>
      <c r="X51" s="32"/>
      <c r="Y51" s="32"/>
      <c r="Z51" s="32"/>
      <c r="AA51" s="32"/>
      <c r="AB51" s="32"/>
      <c r="AC51" s="32"/>
      <c r="AD51" s="4">
        <f>SUM(AD44:AD46)</f>
        <v>205</v>
      </c>
      <c r="AE51" s="28">
        <f>SUM(AE44:AE46)</f>
        <v>21096</v>
      </c>
      <c r="AF51" s="32"/>
      <c r="AG51" s="32"/>
      <c r="AH51" s="32"/>
      <c r="AI51" s="32"/>
      <c r="AJ51" s="32"/>
      <c r="AK51" s="4">
        <f>SUM(AK44:AK46)</f>
        <v>183</v>
      </c>
      <c r="AL51" s="28">
        <f>SUM(AL44:AL46)</f>
        <v>18655</v>
      </c>
      <c r="AN51" s="27" t="s">
        <v>14</v>
      </c>
      <c r="AO51" s="31">
        <f>F52+N52+AD52+V52+AK52</f>
        <v>606</v>
      </c>
      <c r="AP51" s="30">
        <f>AO52/AO51</f>
        <v>58</v>
      </c>
    </row>
    <row r="52" spans="2:42" ht="15.6" x14ac:dyDescent="0.3">
      <c r="B52" s="29" t="s">
        <v>14</v>
      </c>
      <c r="F52" s="4">
        <f>F47</f>
        <v>91</v>
      </c>
      <c r="G52" s="28">
        <f>G47</f>
        <v>5278</v>
      </c>
      <c r="N52" s="4">
        <f>N47</f>
        <v>134</v>
      </c>
      <c r="O52" s="28">
        <f>O47</f>
        <v>7772</v>
      </c>
      <c r="V52" s="4">
        <f>V47</f>
        <v>169</v>
      </c>
      <c r="W52" s="28">
        <f>W47</f>
        <v>9802</v>
      </c>
      <c r="AD52" s="4">
        <f>AD47</f>
        <v>129</v>
      </c>
      <c r="AE52" s="28">
        <f>AE47</f>
        <v>7482</v>
      </c>
      <c r="AK52" s="4">
        <f>AK47</f>
        <v>83</v>
      </c>
      <c r="AL52" s="28">
        <f>AL47</f>
        <v>4814</v>
      </c>
      <c r="AN52" s="27" t="s">
        <v>3</v>
      </c>
      <c r="AO52" s="26">
        <f>G52+AE52+W52+O52+AL52</f>
        <v>35148</v>
      </c>
    </row>
    <row r="55" spans="2:42" s="22" customFormat="1" ht="13.8" customHeight="1" x14ac:dyDescent="0.3">
      <c r="B55" s="25" t="s">
        <v>13</v>
      </c>
      <c r="C55" s="24">
        <v>45659</v>
      </c>
      <c r="D55" s="24">
        <v>45660</v>
      </c>
      <c r="E55" s="24">
        <v>45661</v>
      </c>
      <c r="F55" s="23" t="s">
        <v>12</v>
      </c>
      <c r="G55" s="23" t="s">
        <v>11</v>
      </c>
      <c r="H55" s="24">
        <v>45663</v>
      </c>
      <c r="I55" s="24">
        <v>45664</v>
      </c>
      <c r="J55" s="24">
        <v>45665</v>
      </c>
      <c r="K55" s="24">
        <v>45666</v>
      </c>
      <c r="L55" s="24">
        <v>45667</v>
      </c>
      <c r="M55" s="24">
        <v>45668</v>
      </c>
      <c r="N55" s="23" t="s">
        <v>12</v>
      </c>
      <c r="O55" s="23" t="s">
        <v>11</v>
      </c>
      <c r="P55" s="24">
        <v>45670</v>
      </c>
      <c r="Q55" s="24">
        <v>45671</v>
      </c>
      <c r="R55" s="24">
        <v>45672</v>
      </c>
      <c r="S55" s="24">
        <v>45673</v>
      </c>
      <c r="T55" s="24">
        <v>45674</v>
      </c>
      <c r="U55" s="24">
        <v>45675</v>
      </c>
      <c r="V55" s="23" t="s">
        <v>12</v>
      </c>
      <c r="W55" s="23" t="s">
        <v>11</v>
      </c>
      <c r="X55" s="24">
        <v>45677</v>
      </c>
      <c r="Y55" s="24">
        <v>45678</v>
      </c>
      <c r="Z55" s="24">
        <v>45679</v>
      </c>
      <c r="AA55" s="24">
        <v>45680</v>
      </c>
      <c r="AB55" s="24">
        <v>45681</v>
      </c>
      <c r="AC55" s="24">
        <v>45682</v>
      </c>
      <c r="AD55" s="23" t="s">
        <v>12</v>
      </c>
      <c r="AE55" s="23" t="s">
        <v>11</v>
      </c>
      <c r="AF55" s="24">
        <v>45684</v>
      </c>
      <c r="AG55" s="24">
        <v>45685</v>
      </c>
      <c r="AH55" s="24">
        <v>45686</v>
      </c>
      <c r="AI55" s="24">
        <v>45687</v>
      </c>
      <c r="AJ55" s="24">
        <v>45688</v>
      </c>
      <c r="AK55" s="23" t="s">
        <v>12</v>
      </c>
      <c r="AL55" s="23" t="s">
        <v>11</v>
      </c>
    </row>
    <row r="56" spans="2:42" ht="15" customHeight="1" x14ac:dyDescent="0.3">
      <c r="B56" s="17" t="s">
        <v>10</v>
      </c>
      <c r="C56" s="16">
        <v>145</v>
      </c>
      <c r="D56" s="16">
        <v>260</v>
      </c>
      <c r="E56" s="16">
        <v>360</v>
      </c>
      <c r="F56" s="15">
        <f t="shared" ref="F56:F61" si="10">SUM(C56:E56)</f>
        <v>765</v>
      </c>
      <c r="G56" s="14">
        <f>F56*105</f>
        <v>80325</v>
      </c>
      <c r="H56" s="16">
        <v>288</v>
      </c>
      <c r="I56" s="16">
        <v>222</v>
      </c>
      <c r="J56" s="16">
        <v>140</v>
      </c>
      <c r="K56" s="16">
        <v>60</v>
      </c>
      <c r="L56" s="16">
        <v>348</v>
      </c>
      <c r="M56" s="16">
        <v>2</v>
      </c>
      <c r="N56" s="15">
        <f t="shared" ref="N56:N61" si="11">SUM(H56:M56)</f>
        <v>1060</v>
      </c>
      <c r="O56" s="14">
        <f>N56*108</f>
        <v>114480</v>
      </c>
      <c r="P56" s="16">
        <v>147</v>
      </c>
      <c r="Q56" s="16">
        <v>178</v>
      </c>
      <c r="R56" s="16">
        <v>60</v>
      </c>
      <c r="S56" s="16">
        <v>141</v>
      </c>
      <c r="T56" s="16">
        <v>785</v>
      </c>
      <c r="U56" s="16">
        <v>105</v>
      </c>
      <c r="V56" s="15">
        <f t="shared" ref="V56:V61" si="12">SUM(P56:U56)</f>
        <v>1416</v>
      </c>
      <c r="W56" s="14">
        <f>V56*107</f>
        <v>151512</v>
      </c>
      <c r="X56" s="16">
        <v>173</v>
      </c>
      <c r="Y56" s="16">
        <v>186</v>
      </c>
      <c r="Z56" s="16">
        <v>250</v>
      </c>
      <c r="AA56" s="16">
        <v>70</v>
      </c>
      <c r="AB56" s="16">
        <v>180</v>
      </c>
      <c r="AC56" s="16">
        <v>60</v>
      </c>
      <c r="AD56" s="15">
        <f t="shared" ref="AD56:AD61" si="13">SUM(X56:AC56)</f>
        <v>919</v>
      </c>
      <c r="AE56" s="14">
        <f>AD56*104</f>
        <v>95576</v>
      </c>
      <c r="AF56" s="16">
        <v>211</v>
      </c>
      <c r="AG56" s="16">
        <v>130</v>
      </c>
      <c r="AH56" s="16">
        <v>80</v>
      </c>
      <c r="AI56" s="16">
        <v>80</v>
      </c>
      <c r="AJ56" s="16">
        <v>195</v>
      </c>
      <c r="AK56" s="15">
        <f t="shared" ref="AK56:AK61" si="14">SUM(AF56:AJ56)</f>
        <v>696</v>
      </c>
      <c r="AL56" s="14">
        <f>AK56*103</f>
        <v>71688</v>
      </c>
    </row>
    <row r="57" spans="2:42" x14ac:dyDescent="0.3">
      <c r="B57" s="17" t="s">
        <v>9</v>
      </c>
      <c r="C57" s="16">
        <v>170</v>
      </c>
      <c r="D57" s="16">
        <v>255</v>
      </c>
      <c r="E57" s="16">
        <v>305</v>
      </c>
      <c r="F57" s="15">
        <f t="shared" si="10"/>
        <v>730</v>
      </c>
      <c r="G57" s="14">
        <f>F57*103</f>
        <v>75190</v>
      </c>
      <c r="H57" s="16">
        <v>257</v>
      </c>
      <c r="I57" s="16">
        <v>210</v>
      </c>
      <c r="J57" s="16">
        <v>140</v>
      </c>
      <c r="K57" s="16">
        <v>60</v>
      </c>
      <c r="L57" s="16">
        <v>240</v>
      </c>
      <c r="M57" s="16">
        <v>5</v>
      </c>
      <c r="N57" s="15">
        <f t="shared" si="11"/>
        <v>912</v>
      </c>
      <c r="O57" s="14">
        <f>N57*106</f>
        <v>96672</v>
      </c>
      <c r="P57" s="16">
        <v>144</v>
      </c>
      <c r="Q57" s="16">
        <v>213</v>
      </c>
      <c r="R57" s="16">
        <v>60</v>
      </c>
      <c r="S57" s="16">
        <v>194</v>
      </c>
      <c r="T57" s="16">
        <v>182</v>
      </c>
      <c r="U57" s="16">
        <v>105</v>
      </c>
      <c r="V57" s="15">
        <f t="shared" si="12"/>
        <v>898</v>
      </c>
      <c r="W57" s="14">
        <f>V57*105</f>
        <v>94290</v>
      </c>
      <c r="X57" s="16">
        <v>155</v>
      </c>
      <c r="Y57" s="16">
        <v>203</v>
      </c>
      <c r="Z57" s="16">
        <v>290</v>
      </c>
      <c r="AA57" s="16">
        <v>65</v>
      </c>
      <c r="AB57" s="16">
        <v>170</v>
      </c>
      <c r="AC57" s="16">
        <v>50</v>
      </c>
      <c r="AD57" s="15">
        <f t="shared" si="13"/>
        <v>933</v>
      </c>
      <c r="AE57" s="14">
        <f>AD57*102</f>
        <v>95166</v>
      </c>
      <c r="AF57" s="16">
        <v>205</v>
      </c>
      <c r="AG57" s="16">
        <v>90</v>
      </c>
      <c r="AH57" s="16">
        <v>95</v>
      </c>
      <c r="AI57" s="16">
        <v>110</v>
      </c>
      <c r="AJ57" s="16">
        <v>185</v>
      </c>
      <c r="AK57" s="15">
        <f t="shared" si="14"/>
        <v>685</v>
      </c>
      <c r="AL57" s="14">
        <f>AK57*101</f>
        <v>69185</v>
      </c>
    </row>
    <row r="58" spans="2:42" ht="15.6" x14ac:dyDescent="0.3">
      <c r="B58" s="17" t="s">
        <v>8</v>
      </c>
      <c r="C58" s="16">
        <v>25</v>
      </c>
      <c r="D58" s="16">
        <v>65</v>
      </c>
      <c r="E58" s="16">
        <v>64</v>
      </c>
      <c r="F58" s="15">
        <f t="shared" si="10"/>
        <v>154</v>
      </c>
      <c r="G58" s="14">
        <f>F58*105</f>
        <v>16170</v>
      </c>
      <c r="H58" s="16">
        <v>46</v>
      </c>
      <c r="I58" s="16">
        <v>41</v>
      </c>
      <c r="J58" s="16">
        <v>21</v>
      </c>
      <c r="K58" s="16">
        <v>10</v>
      </c>
      <c r="L58" s="16">
        <v>56</v>
      </c>
      <c r="M58" s="16">
        <v>11</v>
      </c>
      <c r="N58" s="15">
        <f t="shared" si="11"/>
        <v>185</v>
      </c>
      <c r="O58" s="14">
        <f>N58*108</f>
        <v>19980</v>
      </c>
      <c r="P58" s="16">
        <v>23</v>
      </c>
      <c r="Q58" s="16">
        <v>45</v>
      </c>
      <c r="R58" s="16"/>
      <c r="S58" s="16">
        <v>17</v>
      </c>
      <c r="T58" s="16">
        <v>33</v>
      </c>
      <c r="U58" s="16">
        <v>25</v>
      </c>
      <c r="V58" s="15">
        <f t="shared" si="12"/>
        <v>143</v>
      </c>
      <c r="W58" s="14">
        <f>V58*107</f>
        <v>15301</v>
      </c>
      <c r="X58" s="16">
        <v>40</v>
      </c>
      <c r="Y58" s="16">
        <v>86</v>
      </c>
      <c r="Z58" s="16">
        <v>85</v>
      </c>
      <c r="AA58" s="16">
        <v>20</v>
      </c>
      <c r="AB58" s="16">
        <v>55</v>
      </c>
      <c r="AC58" s="16">
        <v>10</v>
      </c>
      <c r="AD58" s="15">
        <f t="shared" si="13"/>
        <v>296</v>
      </c>
      <c r="AE58" s="14">
        <f>AD58*104</f>
        <v>30784</v>
      </c>
      <c r="AF58" s="16">
        <v>49</v>
      </c>
      <c r="AG58" s="16">
        <v>60</v>
      </c>
      <c r="AH58" s="16">
        <v>55</v>
      </c>
      <c r="AI58" s="16">
        <v>20</v>
      </c>
      <c r="AJ58" s="16">
        <v>30</v>
      </c>
      <c r="AK58" s="15">
        <f t="shared" si="14"/>
        <v>214</v>
      </c>
      <c r="AL58" s="14">
        <f>AK58*103</f>
        <v>22042</v>
      </c>
      <c r="AN58" s="19" t="s">
        <v>7</v>
      </c>
      <c r="AO58" s="21">
        <f>F64+N64+V64+AD64+AK64</f>
        <v>10227</v>
      </c>
      <c r="AP58" s="11">
        <f>AO59/AO58</f>
        <v>104.39767282683094</v>
      </c>
    </row>
    <row r="59" spans="2:42" ht="15.6" x14ac:dyDescent="0.3">
      <c r="B59" s="17" t="s">
        <v>6</v>
      </c>
      <c r="C59" s="16">
        <v>50</v>
      </c>
      <c r="D59" s="16">
        <v>1</v>
      </c>
      <c r="E59" s="16">
        <v>2</v>
      </c>
      <c r="F59" s="15">
        <f t="shared" si="10"/>
        <v>53</v>
      </c>
      <c r="G59" s="14">
        <f>F59*88</f>
        <v>4664</v>
      </c>
      <c r="H59" s="16" t="s">
        <v>65</v>
      </c>
      <c r="I59" s="16">
        <v>4</v>
      </c>
      <c r="J59" s="16">
        <v>5</v>
      </c>
      <c r="K59" s="16"/>
      <c r="L59" s="16">
        <v>5</v>
      </c>
      <c r="M59" s="16">
        <v>26</v>
      </c>
      <c r="N59" s="15">
        <f t="shared" si="11"/>
        <v>40</v>
      </c>
      <c r="O59" s="14">
        <f>N59*90</f>
        <v>3600</v>
      </c>
      <c r="P59" s="16">
        <v>6</v>
      </c>
      <c r="Q59" s="16" t="s">
        <v>65</v>
      </c>
      <c r="R59" s="16"/>
      <c r="S59" s="16">
        <v>1</v>
      </c>
      <c r="T59" s="16">
        <v>2</v>
      </c>
      <c r="U59" s="16">
        <v>5</v>
      </c>
      <c r="V59" s="15">
        <f t="shared" si="12"/>
        <v>14</v>
      </c>
      <c r="W59" s="14">
        <f>V59*89</f>
        <v>1246</v>
      </c>
      <c r="X59" s="16">
        <v>25</v>
      </c>
      <c r="Y59" s="16">
        <v>68</v>
      </c>
      <c r="Z59" s="16">
        <v>6</v>
      </c>
      <c r="AA59" s="16" t="s">
        <v>65</v>
      </c>
      <c r="AB59" s="16">
        <v>4</v>
      </c>
      <c r="AC59" s="16" t="s">
        <v>65</v>
      </c>
      <c r="AD59" s="15">
        <f t="shared" si="13"/>
        <v>103</v>
      </c>
      <c r="AE59" s="14">
        <f>AD59*86</f>
        <v>8858</v>
      </c>
      <c r="AF59" s="16">
        <v>1</v>
      </c>
      <c r="AG59" s="16" t="s">
        <v>65</v>
      </c>
      <c r="AH59" s="16" t="s">
        <v>65</v>
      </c>
      <c r="AI59" s="16">
        <v>5</v>
      </c>
      <c r="AJ59" s="16">
        <v>5</v>
      </c>
      <c r="AK59" s="15">
        <f t="shared" si="14"/>
        <v>11</v>
      </c>
      <c r="AL59" s="14">
        <f>AK59*86</f>
        <v>946</v>
      </c>
      <c r="AN59" s="19" t="s">
        <v>3</v>
      </c>
      <c r="AO59" s="18">
        <f>G64+O64+W64+AE64+AL64</f>
        <v>1067675</v>
      </c>
    </row>
    <row r="60" spans="2:42" x14ac:dyDescent="0.3">
      <c r="B60" s="17" t="s">
        <v>4</v>
      </c>
      <c r="C60" s="16" t="s">
        <v>65</v>
      </c>
      <c r="D60" s="16">
        <v>65</v>
      </c>
      <c r="E60" s="16">
        <v>115</v>
      </c>
      <c r="F60" s="15">
        <f t="shared" si="10"/>
        <v>180</v>
      </c>
      <c r="G60" s="14">
        <f>F60*100</f>
        <v>18000</v>
      </c>
      <c r="H60" s="16">
        <v>23</v>
      </c>
      <c r="I60" s="16">
        <v>75</v>
      </c>
      <c r="J60" s="16">
        <v>35</v>
      </c>
      <c r="K60" s="16">
        <v>2</v>
      </c>
      <c r="L60" s="16">
        <v>50</v>
      </c>
      <c r="M60" s="16">
        <v>6</v>
      </c>
      <c r="N60" s="15">
        <f t="shared" si="11"/>
        <v>191</v>
      </c>
      <c r="O60" s="14">
        <f>N60*100</f>
        <v>19100</v>
      </c>
      <c r="P60" s="16">
        <v>25</v>
      </c>
      <c r="Q60" s="16">
        <v>163</v>
      </c>
      <c r="R60" s="16">
        <v>130</v>
      </c>
      <c r="S60" s="16"/>
      <c r="T60" s="16">
        <v>40</v>
      </c>
      <c r="U60" s="16" t="s">
        <v>65</v>
      </c>
      <c r="V60" s="15">
        <f t="shared" si="12"/>
        <v>358</v>
      </c>
      <c r="W60" s="14">
        <f>V60*100</f>
        <v>35800</v>
      </c>
      <c r="X60" s="16"/>
      <c r="Y60" s="16">
        <v>54</v>
      </c>
      <c r="Z60" s="16">
        <v>30</v>
      </c>
      <c r="AA60" s="16">
        <v>60</v>
      </c>
      <c r="AB60" s="16">
        <v>57</v>
      </c>
      <c r="AC60" s="16">
        <v>25</v>
      </c>
      <c r="AD60" s="15">
        <f t="shared" si="13"/>
        <v>226</v>
      </c>
      <c r="AE60" s="14">
        <f>AD60*100</f>
        <v>22600</v>
      </c>
      <c r="AF60" s="16">
        <v>27</v>
      </c>
      <c r="AG60" s="16">
        <v>5</v>
      </c>
      <c r="AH60" s="16">
        <v>91</v>
      </c>
      <c r="AI60" s="16">
        <v>70</v>
      </c>
      <c r="AJ60" s="16">
        <v>68</v>
      </c>
      <c r="AK60" s="15">
        <f t="shared" si="14"/>
        <v>261</v>
      </c>
      <c r="AL60" s="14">
        <f>AK60*100</f>
        <v>26100</v>
      </c>
    </row>
    <row r="61" spans="2:42" ht="15.6" x14ac:dyDescent="0.3">
      <c r="B61" s="17" t="s">
        <v>5</v>
      </c>
      <c r="C61" s="16">
        <v>60</v>
      </c>
      <c r="D61" s="16"/>
      <c r="E61" s="16">
        <v>1</v>
      </c>
      <c r="F61" s="15">
        <f t="shared" si="10"/>
        <v>61</v>
      </c>
      <c r="G61" s="14">
        <f>F61*110</f>
        <v>6710</v>
      </c>
      <c r="H61" s="16">
        <v>50</v>
      </c>
      <c r="I61" s="16"/>
      <c r="J61" s="16"/>
      <c r="K61" s="16">
        <v>2</v>
      </c>
      <c r="L61" s="16"/>
      <c r="M61" s="16">
        <v>10</v>
      </c>
      <c r="N61" s="15">
        <f t="shared" si="11"/>
        <v>62</v>
      </c>
      <c r="O61" s="14">
        <f>N61*115</f>
        <v>7130</v>
      </c>
      <c r="P61" s="16">
        <v>30</v>
      </c>
      <c r="Q61" s="16"/>
      <c r="R61" s="16"/>
      <c r="S61" s="16"/>
      <c r="T61" s="16"/>
      <c r="U61" s="16" t="s">
        <v>65</v>
      </c>
      <c r="V61" s="15">
        <f t="shared" si="12"/>
        <v>30</v>
      </c>
      <c r="W61" s="14">
        <f>V61*110</f>
        <v>3300</v>
      </c>
      <c r="X61" s="16"/>
      <c r="Y61" s="16">
        <v>60</v>
      </c>
      <c r="Z61" s="16"/>
      <c r="AA61" s="16">
        <v>40</v>
      </c>
      <c r="AB61" s="16"/>
      <c r="AC61" s="16"/>
      <c r="AD61" s="15">
        <f t="shared" si="13"/>
        <v>100</v>
      </c>
      <c r="AE61" s="14">
        <f>AD61*115</f>
        <v>11500</v>
      </c>
      <c r="AF61" s="16"/>
      <c r="AG61" s="16"/>
      <c r="AH61" s="16"/>
      <c r="AI61" s="16">
        <v>10</v>
      </c>
      <c r="AJ61" s="16"/>
      <c r="AK61" s="15">
        <f t="shared" si="14"/>
        <v>10</v>
      </c>
      <c r="AL61" s="14">
        <f>AK61*115</f>
        <v>1150</v>
      </c>
      <c r="AN61" s="13" t="s">
        <v>4</v>
      </c>
      <c r="AO61" s="12">
        <f>F60+N60+V60+AD60+AK60</f>
        <v>1216</v>
      </c>
      <c r="AP61" s="11">
        <f>AO62/AO61</f>
        <v>100</v>
      </c>
    </row>
    <row r="62" spans="2:42" ht="15.6" x14ac:dyDescent="0.3">
      <c r="C62" s="10"/>
      <c r="D62" s="10"/>
      <c r="E62" s="10"/>
      <c r="F62" s="9">
        <f>SUM(F56:F61)</f>
        <v>1943</v>
      </c>
      <c r="G62" s="8">
        <f>SUM(G56:G61)</f>
        <v>201059</v>
      </c>
      <c r="H62" s="10"/>
      <c r="I62" s="10"/>
      <c r="J62" s="10"/>
      <c r="K62" s="10"/>
      <c r="L62" s="10"/>
      <c r="M62" s="10"/>
      <c r="N62" s="9">
        <f>SUM(N56:N61)</f>
        <v>2450</v>
      </c>
      <c r="O62" s="8">
        <f>SUM(O56:O61)</f>
        <v>260962</v>
      </c>
      <c r="P62" s="10"/>
      <c r="Q62" s="10"/>
      <c r="R62" s="10"/>
      <c r="S62" s="10"/>
      <c r="T62" s="10"/>
      <c r="U62" s="10"/>
      <c r="V62" s="9">
        <f>SUM(V56:V61)</f>
        <v>2859</v>
      </c>
      <c r="W62" s="8">
        <f>SUM(W56:W61)</f>
        <v>301449</v>
      </c>
      <c r="X62" s="10"/>
      <c r="Y62" s="10"/>
      <c r="Z62" s="10"/>
      <c r="AA62" s="10"/>
      <c r="AB62" s="10"/>
      <c r="AC62" s="10"/>
      <c r="AD62" s="9">
        <f>SUM(AD56:AD61)</f>
        <v>2577</v>
      </c>
      <c r="AE62" s="8">
        <f>SUM(AE56:AE61)</f>
        <v>264484</v>
      </c>
      <c r="AF62" s="10"/>
      <c r="AG62" s="10"/>
      <c r="AH62" s="10"/>
      <c r="AI62" s="10"/>
      <c r="AJ62" s="10"/>
      <c r="AK62" s="9">
        <f>SUM(AK56:AK61)</f>
        <v>1877</v>
      </c>
      <c r="AL62" s="8">
        <f>SUM(AL56:AL61)</f>
        <v>191111</v>
      </c>
      <c r="AN62" s="7" t="s">
        <v>3</v>
      </c>
      <c r="AO62" s="6">
        <f>G60+O60+W60+AE60+AL60</f>
        <v>121600</v>
      </c>
    </row>
    <row r="64" spans="2:42" ht="15.6" x14ac:dyDescent="0.3">
      <c r="F64" s="4">
        <f>F56+F57+F58+F59</f>
        <v>1702</v>
      </c>
      <c r="G64" s="3">
        <f>G56+G57+G58+G59</f>
        <v>176349</v>
      </c>
      <c r="M64" s="5" t="s">
        <v>2</v>
      </c>
      <c r="N64" s="4">
        <f>N56+N57+N58+N59</f>
        <v>2197</v>
      </c>
      <c r="O64" s="3">
        <f>O56+O57+O58+O59</f>
        <v>234732</v>
      </c>
      <c r="V64" s="4">
        <f>V56+V57+V58+V59</f>
        <v>2471</v>
      </c>
      <c r="W64" s="3">
        <f>W56+W57+W58+W59</f>
        <v>262349</v>
      </c>
      <c r="AD64" s="4">
        <f>AD56+AD57+AD58+AD59</f>
        <v>2251</v>
      </c>
      <c r="AE64" s="3">
        <f>AE56+AE57+AE58+AE59</f>
        <v>230384</v>
      </c>
      <c r="AK64" s="4">
        <f>AK56+AK57+AK58+AK59</f>
        <v>1606</v>
      </c>
      <c r="AL64" s="3">
        <f>AL56+AL57+AL58+AL59</f>
        <v>163861</v>
      </c>
    </row>
    <row r="66" spans="40:41" x14ac:dyDescent="0.3">
      <c r="AN66" s="2" t="s">
        <v>1</v>
      </c>
      <c r="AO66" s="1">
        <f>AO62+AO59+AO20</f>
        <v>1628421</v>
      </c>
    </row>
    <row r="1964" spans="15:15" x14ac:dyDescent="0.3">
      <c r="O1964" t="s">
        <v>0</v>
      </c>
    </row>
  </sheetData>
  <mergeCells count="2">
    <mergeCell ref="AS3:AT3"/>
    <mergeCell ref="AN24:AO24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FC7F-D5A2-4118-8A1D-C65467D5C3C1}">
  <dimension ref="B3:AR1964"/>
  <sheetViews>
    <sheetView zoomScaleNormal="100" workbookViewId="0">
      <pane xSplit="2" ySplit="3" topLeftCell="AF31" activePane="bottomRight" state="frozen"/>
      <selection pane="topRight" activeCell="C1" sqref="C1"/>
      <selection pane="bottomLeft" activeCell="A4" sqref="A4"/>
      <selection pane="bottomRight" activeCell="AJ64" sqref="AJ64"/>
    </sheetView>
  </sheetViews>
  <sheetFormatPr baseColWidth="10" defaultRowHeight="14.4" x14ac:dyDescent="0.3"/>
  <cols>
    <col min="1" max="1" width="5.6640625" customWidth="1"/>
    <col min="2" max="2" width="18.33203125" customWidth="1"/>
    <col min="4" max="4" width="13.33203125" customWidth="1"/>
    <col min="5" max="5" width="17.109375" customWidth="1"/>
    <col min="11" max="11" width="11.6640625" customWidth="1"/>
    <col min="12" max="12" width="13.33203125" customWidth="1"/>
    <col min="13" max="13" width="16" customWidth="1"/>
    <col min="20" max="20" width="13.33203125" customWidth="1"/>
    <col min="21" max="21" width="16.109375" customWidth="1"/>
    <col min="28" max="28" width="13.33203125" customWidth="1"/>
    <col min="29" max="29" width="16.109375" customWidth="1"/>
    <col min="35" max="35" width="13.33203125" customWidth="1"/>
    <col min="36" max="36" width="16.109375" customWidth="1"/>
    <col min="37" max="37" width="6.5546875" customWidth="1"/>
    <col min="38" max="38" width="15.33203125" customWidth="1"/>
    <col min="39" max="39" width="16.5546875" customWidth="1"/>
    <col min="40" max="40" width="13.88671875" customWidth="1"/>
    <col min="42" max="42" width="9.77734375" customWidth="1"/>
    <col min="43" max="43" width="17.109375" customWidth="1"/>
    <col min="44" max="44" width="16.77734375" customWidth="1"/>
  </cols>
  <sheetData>
    <row r="3" spans="2:44" s="22" customFormat="1" ht="13.8" customHeight="1" x14ac:dyDescent="0.3">
      <c r="B3" s="25" t="s">
        <v>13</v>
      </c>
      <c r="C3" s="24">
        <v>45689</v>
      </c>
      <c r="D3" s="23" t="s">
        <v>63</v>
      </c>
      <c r="E3" s="23" t="s">
        <v>11</v>
      </c>
      <c r="F3" s="24">
        <v>45691</v>
      </c>
      <c r="G3" s="24">
        <v>45692</v>
      </c>
      <c r="H3" s="24">
        <v>45693</v>
      </c>
      <c r="I3" s="24">
        <v>45694</v>
      </c>
      <c r="J3" s="24">
        <v>45695</v>
      </c>
      <c r="K3" s="24">
        <v>45696</v>
      </c>
      <c r="L3" s="23" t="s">
        <v>63</v>
      </c>
      <c r="M3" s="23" t="s">
        <v>11</v>
      </c>
      <c r="N3" s="24">
        <v>45698</v>
      </c>
      <c r="O3" s="24">
        <v>45699</v>
      </c>
      <c r="P3" s="24">
        <v>45700</v>
      </c>
      <c r="Q3" s="24">
        <v>45701</v>
      </c>
      <c r="R3" s="24">
        <v>45702</v>
      </c>
      <c r="S3" s="24">
        <v>45703</v>
      </c>
      <c r="T3" s="23" t="s">
        <v>63</v>
      </c>
      <c r="U3" s="23" t="s">
        <v>11</v>
      </c>
      <c r="V3" s="24">
        <v>45705</v>
      </c>
      <c r="W3" s="24">
        <v>45706</v>
      </c>
      <c r="X3" s="24">
        <v>45707</v>
      </c>
      <c r="Y3" s="24">
        <v>45708</v>
      </c>
      <c r="Z3" s="24">
        <v>45709</v>
      </c>
      <c r="AA3" s="24">
        <v>45710</v>
      </c>
      <c r="AB3" s="23" t="s">
        <v>63</v>
      </c>
      <c r="AC3" s="23" t="s">
        <v>11</v>
      </c>
      <c r="AD3" s="24">
        <v>45712</v>
      </c>
      <c r="AE3" s="24">
        <v>45713</v>
      </c>
      <c r="AF3" s="24">
        <v>45714</v>
      </c>
      <c r="AG3" s="24">
        <v>45715</v>
      </c>
      <c r="AH3" s="24">
        <v>45716</v>
      </c>
      <c r="AI3" s="23" t="s">
        <v>63</v>
      </c>
      <c r="AJ3" s="23" t="s">
        <v>11</v>
      </c>
      <c r="AQ3" s="68" t="s">
        <v>69</v>
      </c>
      <c r="AR3" s="69"/>
    </row>
    <row r="4" spans="2:44" ht="15.6" customHeight="1" x14ac:dyDescent="0.3">
      <c r="B4" s="17" t="s">
        <v>62</v>
      </c>
      <c r="C4" s="16">
        <v>16</v>
      </c>
      <c r="D4" s="15">
        <f>SUM(C4:C4)</f>
        <v>16</v>
      </c>
      <c r="E4" s="14">
        <f>D4*60</f>
        <v>960</v>
      </c>
      <c r="F4" s="61">
        <v>52</v>
      </c>
      <c r="G4" s="16">
        <v>36</v>
      </c>
      <c r="H4" s="16">
        <v>20</v>
      </c>
      <c r="I4" s="16">
        <v>48</v>
      </c>
      <c r="J4" s="16" t="s">
        <v>65</v>
      </c>
      <c r="K4" s="16">
        <v>15</v>
      </c>
      <c r="L4" s="15">
        <f>SUM(F4:K4)</f>
        <v>171</v>
      </c>
      <c r="M4" s="14">
        <f>L4*60</f>
        <v>10260</v>
      </c>
      <c r="N4" s="16">
        <v>115</v>
      </c>
      <c r="O4" s="16">
        <v>8</v>
      </c>
      <c r="P4" s="16">
        <v>30</v>
      </c>
      <c r="Q4" s="16">
        <v>15</v>
      </c>
      <c r="R4" s="16">
        <v>60</v>
      </c>
      <c r="S4" s="16">
        <v>10</v>
      </c>
      <c r="T4" s="15">
        <f>SUM(N4:S4)</f>
        <v>238</v>
      </c>
      <c r="U4" s="14">
        <f>T4*60</f>
        <v>14280</v>
      </c>
      <c r="V4" s="16">
        <v>34</v>
      </c>
      <c r="W4" s="16">
        <v>40</v>
      </c>
      <c r="X4" s="16">
        <v>30</v>
      </c>
      <c r="Y4" s="16">
        <v>75</v>
      </c>
      <c r="Z4" s="16">
        <v>13</v>
      </c>
      <c r="AA4" s="16">
        <v>10</v>
      </c>
      <c r="AB4" s="15">
        <f t="shared" ref="AB4:AB18" si="0">SUM(V4:AA4)</f>
        <v>202</v>
      </c>
      <c r="AC4" s="14">
        <f>AB4*60</f>
        <v>12120</v>
      </c>
      <c r="AD4" s="16">
        <v>17</v>
      </c>
      <c r="AE4" s="16">
        <v>45</v>
      </c>
      <c r="AF4" s="16">
        <v>50</v>
      </c>
      <c r="AG4" s="16" t="s">
        <v>65</v>
      </c>
      <c r="AH4" s="16">
        <v>22</v>
      </c>
      <c r="AI4" s="15">
        <f>SUM(AD4:AH4)</f>
        <v>134</v>
      </c>
      <c r="AJ4" s="14">
        <f>AI4*60</f>
        <v>8040</v>
      </c>
      <c r="AQ4" s="60" t="s">
        <v>48</v>
      </c>
      <c r="AR4" s="48">
        <f>AM19</f>
        <v>4882</v>
      </c>
    </row>
    <row r="5" spans="2:44" ht="15.6" x14ac:dyDescent="0.3">
      <c r="B5" s="17" t="s">
        <v>61</v>
      </c>
      <c r="C5" s="16">
        <v>10</v>
      </c>
      <c r="D5" s="15">
        <f t="shared" ref="D5:D18" si="1">SUM(C5:C5)</f>
        <v>10</v>
      </c>
      <c r="E5" s="14">
        <f>D5*60</f>
        <v>600</v>
      </c>
      <c r="F5" s="61">
        <v>30</v>
      </c>
      <c r="G5" s="16">
        <v>46</v>
      </c>
      <c r="H5" s="16">
        <v>13</v>
      </c>
      <c r="I5" s="16">
        <v>20</v>
      </c>
      <c r="J5" s="16" t="s">
        <v>65</v>
      </c>
      <c r="K5" s="16"/>
      <c r="L5" s="15">
        <f t="shared" ref="L5:L18" si="2">SUM(F5:K5)</f>
        <v>109</v>
      </c>
      <c r="M5" s="14">
        <f>L5*60</f>
        <v>6540</v>
      </c>
      <c r="N5" s="16">
        <v>64</v>
      </c>
      <c r="O5" s="16">
        <v>22</v>
      </c>
      <c r="P5" s="16">
        <v>30</v>
      </c>
      <c r="Q5" s="16">
        <v>27</v>
      </c>
      <c r="R5" s="16">
        <v>45</v>
      </c>
      <c r="S5" s="16">
        <v>5</v>
      </c>
      <c r="T5" s="15">
        <f t="shared" ref="T5:T18" si="3">SUM(N5:S5)</f>
        <v>193</v>
      </c>
      <c r="U5" s="14">
        <f>T5*60</f>
        <v>11580</v>
      </c>
      <c r="V5" s="16">
        <v>38</v>
      </c>
      <c r="W5" s="16">
        <v>52</v>
      </c>
      <c r="X5" s="16">
        <v>60</v>
      </c>
      <c r="Y5" s="16">
        <v>41</v>
      </c>
      <c r="Z5" s="16" t="s">
        <v>65</v>
      </c>
      <c r="AA5" s="16">
        <v>9</v>
      </c>
      <c r="AB5" s="15">
        <f t="shared" si="0"/>
        <v>200</v>
      </c>
      <c r="AC5" s="14">
        <f>AB5*60</f>
        <v>12000</v>
      </c>
      <c r="AD5" s="16">
        <v>16</v>
      </c>
      <c r="AE5" s="16">
        <v>32</v>
      </c>
      <c r="AF5" s="16">
        <v>50</v>
      </c>
      <c r="AG5" s="16" t="s">
        <v>65</v>
      </c>
      <c r="AH5" s="16">
        <v>25</v>
      </c>
      <c r="AI5" s="15">
        <f t="shared" ref="AI5:AI18" si="4">SUM(AD5:AH5)</f>
        <v>123</v>
      </c>
      <c r="AJ5" s="14">
        <f>AI5*60</f>
        <v>7380</v>
      </c>
      <c r="AQ5" s="60" t="s">
        <v>3</v>
      </c>
      <c r="AR5" s="46">
        <f>AM20</f>
        <v>357236</v>
      </c>
    </row>
    <row r="6" spans="2:44" ht="15.6" x14ac:dyDescent="0.3">
      <c r="B6" s="17" t="s">
        <v>60</v>
      </c>
      <c r="C6" s="16">
        <v>1</v>
      </c>
      <c r="D6" s="15">
        <f t="shared" si="1"/>
        <v>1</v>
      </c>
      <c r="E6" s="14">
        <f>D6*61</f>
        <v>61</v>
      </c>
      <c r="F6" s="61" t="s">
        <v>65</v>
      </c>
      <c r="G6" s="16">
        <v>1</v>
      </c>
      <c r="H6" s="16">
        <v>1</v>
      </c>
      <c r="I6" s="16">
        <v>10</v>
      </c>
      <c r="J6" s="16">
        <v>9</v>
      </c>
      <c r="K6" s="16">
        <v>2</v>
      </c>
      <c r="L6" s="15">
        <f t="shared" si="2"/>
        <v>23</v>
      </c>
      <c r="M6" s="14">
        <f>L6*61</f>
        <v>1403</v>
      </c>
      <c r="N6" s="16">
        <v>51</v>
      </c>
      <c r="O6" s="16">
        <v>1</v>
      </c>
      <c r="P6" s="16">
        <v>15</v>
      </c>
      <c r="Q6" s="16">
        <v>1</v>
      </c>
      <c r="R6" s="16">
        <v>25</v>
      </c>
      <c r="S6" s="16">
        <v>5</v>
      </c>
      <c r="T6" s="15">
        <f t="shared" si="3"/>
        <v>98</v>
      </c>
      <c r="U6" s="14">
        <f>T6*61</f>
        <v>5978</v>
      </c>
      <c r="V6" s="16">
        <v>2</v>
      </c>
      <c r="W6" s="16">
        <v>27</v>
      </c>
      <c r="X6" s="16">
        <v>10</v>
      </c>
      <c r="Y6" s="16">
        <v>25</v>
      </c>
      <c r="Z6" s="16" t="s">
        <v>65</v>
      </c>
      <c r="AA6" s="16"/>
      <c r="AB6" s="15">
        <f t="shared" si="0"/>
        <v>64</v>
      </c>
      <c r="AC6" s="14">
        <f>AB6*61</f>
        <v>3904</v>
      </c>
      <c r="AD6" s="16">
        <v>6</v>
      </c>
      <c r="AE6" s="16">
        <v>11</v>
      </c>
      <c r="AF6" s="16">
        <v>11</v>
      </c>
      <c r="AG6" s="16" t="s">
        <v>65</v>
      </c>
      <c r="AH6" s="16">
        <v>5</v>
      </c>
      <c r="AI6" s="15">
        <f t="shared" si="4"/>
        <v>33</v>
      </c>
      <c r="AJ6" s="14">
        <f>AI6*61</f>
        <v>2013</v>
      </c>
      <c r="AQ6" s="59" t="s">
        <v>15</v>
      </c>
      <c r="AR6" s="37">
        <f>AM48</f>
        <v>653</v>
      </c>
    </row>
    <row r="7" spans="2:44" ht="15.6" x14ac:dyDescent="0.3">
      <c r="B7" s="17" t="s">
        <v>59</v>
      </c>
      <c r="C7" s="16" t="s">
        <v>65</v>
      </c>
      <c r="D7" s="15">
        <f t="shared" si="1"/>
        <v>0</v>
      </c>
      <c r="E7" s="14">
        <f>D7*60</f>
        <v>0</v>
      </c>
      <c r="F7" s="61" t="s">
        <v>65</v>
      </c>
      <c r="G7" s="16">
        <v>1</v>
      </c>
      <c r="H7" s="16" t="s">
        <v>65</v>
      </c>
      <c r="I7" s="16">
        <v>10</v>
      </c>
      <c r="J7" s="16">
        <v>12</v>
      </c>
      <c r="K7" s="16"/>
      <c r="L7" s="15">
        <f t="shared" si="2"/>
        <v>23</v>
      </c>
      <c r="M7" s="14">
        <f>L7*60</f>
        <v>1380</v>
      </c>
      <c r="N7" s="16">
        <v>16</v>
      </c>
      <c r="O7" s="16">
        <v>26</v>
      </c>
      <c r="P7" s="16">
        <v>25</v>
      </c>
      <c r="Q7" s="16">
        <v>5</v>
      </c>
      <c r="R7" s="16">
        <v>20</v>
      </c>
      <c r="S7" s="16">
        <v>5</v>
      </c>
      <c r="T7" s="15">
        <f t="shared" si="3"/>
        <v>97</v>
      </c>
      <c r="U7" s="14">
        <f>T7*60</f>
        <v>5820</v>
      </c>
      <c r="V7" s="16">
        <v>22</v>
      </c>
      <c r="W7" s="16">
        <v>25</v>
      </c>
      <c r="X7" s="16">
        <v>15</v>
      </c>
      <c r="Y7" s="16" t="s">
        <v>65</v>
      </c>
      <c r="Z7" s="16" t="s">
        <v>65</v>
      </c>
      <c r="AA7" s="16"/>
      <c r="AB7" s="15">
        <f t="shared" si="0"/>
        <v>62</v>
      </c>
      <c r="AC7" s="14">
        <f>AB7*60</f>
        <v>3720</v>
      </c>
      <c r="AD7" s="16">
        <v>18</v>
      </c>
      <c r="AE7" s="16">
        <v>1</v>
      </c>
      <c r="AF7" s="16">
        <v>15</v>
      </c>
      <c r="AG7" s="16" t="s">
        <v>65</v>
      </c>
      <c r="AH7" s="16">
        <v>10</v>
      </c>
      <c r="AI7" s="15">
        <f t="shared" si="4"/>
        <v>44</v>
      </c>
      <c r="AJ7" s="14">
        <f>AI7*60</f>
        <v>2640</v>
      </c>
      <c r="AQ7" s="59" t="s">
        <v>3</v>
      </c>
      <c r="AR7" s="34">
        <f>AM49</f>
        <v>68144</v>
      </c>
    </row>
    <row r="8" spans="2:44" ht="15.6" x14ac:dyDescent="0.3">
      <c r="B8" s="17" t="s">
        <v>58</v>
      </c>
      <c r="C8" s="16"/>
      <c r="D8" s="15">
        <f t="shared" si="1"/>
        <v>0</v>
      </c>
      <c r="E8" s="14">
        <f>D8*60</f>
        <v>0</v>
      </c>
      <c r="F8" s="61">
        <v>15</v>
      </c>
      <c r="G8" s="16">
        <v>1</v>
      </c>
      <c r="H8" s="16" t="s">
        <v>65</v>
      </c>
      <c r="I8" s="16">
        <v>15</v>
      </c>
      <c r="J8" s="16">
        <v>4</v>
      </c>
      <c r="K8" s="16"/>
      <c r="L8" s="15">
        <f t="shared" si="2"/>
        <v>35</v>
      </c>
      <c r="M8" s="14">
        <f>L8*60</f>
        <v>2100</v>
      </c>
      <c r="N8" s="16">
        <v>57</v>
      </c>
      <c r="O8" s="16">
        <v>19</v>
      </c>
      <c r="P8" s="16">
        <v>20</v>
      </c>
      <c r="Q8" s="16" t="s">
        <v>65</v>
      </c>
      <c r="R8" s="16">
        <v>20</v>
      </c>
      <c r="S8" s="16" t="s">
        <v>65</v>
      </c>
      <c r="T8" s="15">
        <f t="shared" si="3"/>
        <v>116</v>
      </c>
      <c r="U8" s="14">
        <f>T8*60</f>
        <v>6960</v>
      </c>
      <c r="V8" s="16">
        <v>11</v>
      </c>
      <c r="W8" s="16">
        <v>45</v>
      </c>
      <c r="X8" s="16">
        <v>5</v>
      </c>
      <c r="Y8" s="16">
        <v>10</v>
      </c>
      <c r="Z8" s="16" t="s">
        <v>65</v>
      </c>
      <c r="AA8" s="16"/>
      <c r="AB8" s="15">
        <f t="shared" si="0"/>
        <v>71</v>
      </c>
      <c r="AC8" s="14">
        <f>AB8*60</f>
        <v>4260</v>
      </c>
      <c r="AD8" s="16">
        <v>22</v>
      </c>
      <c r="AE8" s="16">
        <v>4</v>
      </c>
      <c r="AF8" s="16">
        <v>5</v>
      </c>
      <c r="AG8" s="16" t="s">
        <v>65</v>
      </c>
      <c r="AH8" s="16">
        <v>5</v>
      </c>
      <c r="AI8" s="15">
        <f t="shared" si="4"/>
        <v>36</v>
      </c>
      <c r="AJ8" s="14">
        <f>AI8*60</f>
        <v>2160</v>
      </c>
      <c r="AQ8" s="58" t="s">
        <v>14</v>
      </c>
      <c r="AR8" s="31">
        <f>AM51</f>
        <v>427</v>
      </c>
    </row>
    <row r="9" spans="2:44" ht="15.6" x14ac:dyDescent="0.3">
      <c r="B9" s="17" t="s">
        <v>57</v>
      </c>
      <c r="C9" s="20"/>
      <c r="D9" s="15">
        <f t="shared" si="1"/>
        <v>0</v>
      </c>
      <c r="E9" s="14">
        <f>D9*60</f>
        <v>0</v>
      </c>
      <c r="F9" s="61" t="s">
        <v>65</v>
      </c>
      <c r="G9" s="16">
        <v>23</v>
      </c>
      <c r="H9" s="16">
        <v>28</v>
      </c>
      <c r="I9" s="20">
        <v>2</v>
      </c>
      <c r="J9" s="16" t="s">
        <v>65</v>
      </c>
      <c r="K9" s="16">
        <v>1</v>
      </c>
      <c r="L9" s="15">
        <f t="shared" si="2"/>
        <v>54</v>
      </c>
      <c r="M9" s="14">
        <f>L9*60</f>
        <v>3240</v>
      </c>
      <c r="N9" s="16">
        <v>150</v>
      </c>
      <c r="O9" s="16">
        <v>18</v>
      </c>
      <c r="P9" s="16">
        <v>2</v>
      </c>
      <c r="Q9" s="16">
        <v>6</v>
      </c>
      <c r="R9" s="16">
        <v>10</v>
      </c>
      <c r="S9" s="16">
        <v>6</v>
      </c>
      <c r="T9" s="15">
        <f t="shared" si="3"/>
        <v>192</v>
      </c>
      <c r="U9" s="14">
        <f>T9*60</f>
        <v>11520</v>
      </c>
      <c r="V9" s="16">
        <v>13</v>
      </c>
      <c r="W9" s="16">
        <v>31</v>
      </c>
      <c r="X9" s="16">
        <v>4</v>
      </c>
      <c r="Y9" s="16" t="s">
        <v>65</v>
      </c>
      <c r="Z9" s="16" t="s">
        <v>65</v>
      </c>
      <c r="AA9" s="16">
        <v>1</v>
      </c>
      <c r="AB9" s="15">
        <f t="shared" si="0"/>
        <v>49</v>
      </c>
      <c r="AC9" s="14">
        <f>AB9*60</f>
        <v>2940</v>
      </c>
      <c r="AD9" s="16">
        <v>10</v>
      </c>
      <c r="AE9" s="16">
        <v>23</v>
      </c>
      <c r="AF9" s="16" t="s">
        <v>65</v>
      </c>
      <c r="AG9" s="16" t="s">
        <v>65</v>
      </c>
      <c r="AH9" s="16" t="s">
        <v>65</v>
      </c>
      <c r="AI9" s="15">
        <f t="shared" si="4"/>
        <v>33</v>
      </c>
      <c r="AJ9" s="14">
        <f>AI9*60</f>
        <v>1980</v>
      </c>
      <c r="AQ9" s="58" t="s">
        <v>3</v>
      </c>
      <c r="AR9" s="26">
        <f>AM52</f>
        <v>24766</v>
      </c>
    </row>
    <row r="10" spans="2:44" ht="15.6" x14ac:dyDescent="0.3">
      <c r="B10" s="17" t="s">
        <v>56</v>
      </c>
      <c r="C10" s="16"/>
      <c r="D10" s="15">
        <f t="shared" si="1"/>
        <v>0</v>
      </c>
      <c r="E10" s="14">
        <f>D10*60</f>
        <v>0</v>
      </c>
      <c r="F10" s="61" t="s">
        <v>65</v>
      </c>
      <c r="G10" s="16">
        <v>5</v>
      </c>
      <c r="H10" s="16">
        <v>5</v>
      </c>
      <c r="I10" s="16">
        <v>1</v>
      </c>
      <c r="J10" s="16">
        <v>1</v>
      </c>
      <c r="K10" s="16"/>
      <c r="L10" s="15">
        <f t="shared" si="2"/>
        <v>12</v>
      </c>
      <c r="M10" s="14">
        <f>L10*60</f>
        <v>720</v>
      </c>
      <c r="N10" s="16">
        <v>16</v>
      </c>
      <c r="O10" s="16">
        <v>21</v>
      </c>
      <c r="P10" s="16" t="s">
        <v>65</v>
      </c>
      <c r="Q10" s="16">
        <v>5</v>
      </c>
      <c r="R10" s="16">
        <v>15</v>
      </c>
      <c r="S10" s="16">
        <v>17</v>
      </c>
      <c r="T10" s="15">
        <f t="shared" si="3"/>
        <v>74</v>
      </c>
      <c r="U10" s="14">
        <f>T10*60</f>
        <v>4440</v>
      </c>
      <c r="V10" s="16">
        <v>7</v>
      </c>
      <c r="W10" s="16"/>
      <c r="X10" s="16">
        <v>17</v>
      </c>
      <c r="Y10" s="16">
        <v>1</v>
      </c>
      <c r="Z10" s="16" t="s">
        <v>65</v>
      </c>
      <c r="AA10" s="16"/>
      <c r="AB10" s="15">
        <f t="shared" si="0"/>
        <v>25</v>
      </c>
      <c r="AC10" s="14">
        <f>AB10*60</f>
        <v>1500</v>
      </c>
      <c r="AD10" s="16">
        <v>12</v>
      </c>
      <c r="AE10" s="16">
        <v>13</v>
      </c>
      <c r="AF10" s="16" t="s">
        <v>65</v>
      </c>
      <c r="AG10" s="16" t="s">
        <v>65</v>
      </c>
      <c r="AH10" s="16" t="s">
        <v>65</v>
      </c>
      <c r="AI10" s="15">
        <f t="shared" si="4"/>
        <v>25</v>
      </c>
      <c r="AJ10" s="14">
        <f>AI10*60</f>
        <v>1500</v>
      </c>
      <c r="AQ10" s="57" t="s">
        <v>7</v>
      </c>
      <c r="AR10" s="21">
        <f>AM58</f>
        <v>7369</v>
      </c>
    </row>
    <row r="11" spans="2:44" ht="15.6" x14ac:dyDescent="0.3">
      <c r="B11" s="17" t="s">
        <v>55</v>
      </c>
      <c r="C11" s="16"/>
      <c r="D11" s="15">
        <f t="shared" si="1"/>
        <v>0</v>
      </c>
      <c r="E11" s="14">
        <f>D11*65</f>
        <v>0</v>
      </c>
      <c r="F11" s="61" t="s">
        <v>65</v>
      </c>
      <c r="G11" s="16">
        <v>3</v>
      </c>
      <c r="H11" s="16" t="s">
        <v>65</v>
      </c>
      <c r="I11" s="16" t="s">
        <v>65</v>
      </c>
      <c r="J11" s="16" t="s">
        <v>65</v>
      </c>
      <c r="K11" s="16"/>
      <c r="L11" s="15">
        <f t="shared" si="2"/>
        <v>3</v>
      </c>
      <c r="M11" s="14">
        <f>L11*65</f>
        <v>195</v>
      </c>
      <c r="N11" s="16" t="s">
        <v>65</v>
      </c>
      <c r="O11" s="16" t="s">
        <v>65</v>
      </c>
      <c r="P11" s="16">
        <v>8</v>
      </c>
      <c r="Q11" s="16" t="s">
        <v>65</v>
      </c>
      <c r="R11" s="16" t="s">
        <v>65</v>
      </c>
      <c r="S11" s="16" t="s">
        <v>65</v>
      </c>
      <c r="T11" s="15">
        <f t="shared" si="3"/>
        <v>8</v>
      </c>
      <c r="U11" s="14">
        <f>T11*65</f>
        <v>520</v>
      </c>
      <c r="V11" s="16">
        <v>2</v>
      </c>
      <c r="W11" s="16"/>
      <c r="X11" s="16">
        <v>9</v>
      </c>
      <c r="Y11" s="16" t="s">
        <v>65</v>
      </c>
      <c r="Z11" s="16" t="s">
        <v>65</v>
      </c>
      <c r="AA11" s="16"/>
      <c r="AB11" s="15">
        <f t="shared" si="0"/>
        <v>11</v>
      </c>
      <c r="AC11" s="14">
        <f>AB11*65</f>
        <v>715</v>
      </c>
      <c r="AD11" s="16">
        <v>5</v>
      </c>
      <c r="AE11" s="16" t="s">
        <v>65</v>
      </c>
      <c r="AF11" s="16">
        <v>1</v>
      </c>
      <c r="AG11" s="16">
        <v>3</v>
      </c>
      <c r="AH11" s="16">
        <v>2</v>
      </c>
      <c r="AI11" s="15">
        <f t="shared" si="4"/>
        <v>11</v>
      </c>
      <c r="AJ11" s="14">
        <f>AI11*65</f>
        <v>715</v>
      </c>
      <c r="AQ11" s="57" t="s">
        <v>3</v>
      </c>
      <c r="AR11" s="18">
        <f>AM59</f>
        <v>747985</v>
      </c>
    </row>
    <row r="12" spans="2:44" ht="15.6" x14ac:dyDescent="0.3">
      <c r="B12" s="17" t="s">
        <v>54</v>
      </c>
      <c r="C12" s="16">
        <v>3</v>
      </c>
      <c r="D12" s="15">
        <f t="shared" si="1"/>
        <v>3</v>
      </c>
      <c r="E12" s="14">
        <f>D12*65</f>
        <v>195</v>
      </c>
      <c r="F12" s="61">
        <v>1</v>
      </c>
      <c r="G12" s="16">
        <v>7</v>
      </c>
      <c r="H12" s="16" t="s">
        <v>65</v>
      </c>
      <c r="I12" s="16" t="s">
        <v>65</v>
      </c>
      <c r="J12" s="16">
        <v>3</v>
      </c>
      <c r="K12" s="16"/>
      <c r="L12" s="15">
        <f t="shared" si="2"/>
        <v>11</v>
      </c>
      <c r="M12" s="14">
        <f>L12*65</f>
        <v>715</v>
      </c>
      <c r="N12" s="16" t="s">
        <v>65</v>
      </c>
      <c r="O12" s="16" t="s">
        <v>65</v>
      </c>
      <c r="P12" s="16">
        <v>5</v>
      </c>
      <c r="Q12" s="16" t="s">
        <v>65</v>
      </c>
      <c r="R12" s="16" t="s">
        <v>65</v>
      </c>
      <c r="S12" s="16" t="s">
        <v>65</v>
      </c>
      <c r="T12" s="15">
        <f t="shared" si="3"/>
        <v>5</v>
      </c>
      <c r="U12" s="14">
        <f>T12*65</f>
        <v>325</v>
      </c>
      <c r="V12" s="16">
        <v>2</v>
      </c>
      <c r="W12" s="16">
        <v>1</v>
      </c>
      <c r="X12" s="16">
        <v>9</v>
      </c>
      <c r="Y12" s="16">
        <v>2</v>
      </c>
      <c r="Z12" s="16" t="s">
        <v>65</v>
      </c>
      <c r="AA12" s="16">
        <v>1</v>
      </c>
      <c r="AB12" s="15">
        <f t="shared" si="0"/>
        <v>15</v>
      </c>
      <c r="AC12" s="14">
        <f>AB12*65</f>
        <v>975</v>
      </c>
      <c r="AD12" s="16" t="s">
        <v>65</v>
      </c>
      <c r="AE12" s="16">
        <v>1</v>
      </c>
      <c r="AF12" s="16">
        <v>1</v>
      </c>
      <c r="AG12" s="16" t="s">
        <v>65</v>
      </c>
      <c r="AH12" s="16" t="s">
        <v>65</v>
      </c>
      <c r="AI12" s="15">
        <f t="shared" si="4"/>
        <v>2</v>
      </c>
      <c r="AJ12" s="14">
        <f>AI12*65</f>
        <v>130</v>
      </c>
      <c r="AQ12" s="56" t="s">
        <v>4</v>
      </c>
      <c r="AR12" s="12">
        <f>AM61</f>
        <v>1227</v>
      </c>
    </row>
    <row r="13" spans="2:44" ht="15.6" x14ac:dyDescent="0.3">
      <c r="B13" s="17" t="s">
        <v>40</v>
      </c>
      <c r="C13" s="16">
        <v>11</v>
      </c>
      <c r="D13" s="15">
        <f t="shared" si="1"/>
        <v>11</v>
      </c>
      <c r="E13" s="14">
        <f>D13*95</f>
        <v>1045</v>
      </c>
      <c r="F13" s="61">
        <v>50</v>
      </c>
      <c r="G13" s="16">
        <v>62</v>
      </c>
      <c r="H13" s="16">
        <v>55</v>
      </c>
      <c r="I13" s="16">
        <v>13</v>
      </c>
      <c r="J13" s="16">
        <v>18</v>
      </c>
      <c r="K13" s="16">
        <v>35</v>
      </c>
      <c r="L13" s="15">
        <f t="shared" si="2"/>
        <v>233</v>
      </c>
      <c r="M13" s="14">
        <f>L13*95</f>
        <v>22135</v>
      </c>
      <c r="N13" s="16">
        <v>69</v>
      </c>
      <c r="O13" s="16">
        <v>7</v>
      </c>
      <c r="P13" s="16">
        <v>10</v>
      </c>
      <c r="Q13" s="16">
        <v>60</v>
      </c>
      <c r="R13" s="16">
        <v>9</v>
      </c>
      <c r="S13" s="16">
        <v>5</v>
      </c>
      <c r="T13" s="15">
        <f t="shared" si="3"/>
        <v>160</v>
      </c>
      <c r="U13" s="14">
        <f>T13*95</f>
        <v>15200</v>
      </c>
      <c r="V13" s="16">
        <v>48</v>
      </c>
      <c r="W13" s="16">
        <v>30</v>
      </c>
      <c r="X13" s="16">
        <v>8</v>
      </c>
      <c r="Y13" s="16">
        <v>51</v>
      </c>
      <c r="Z13" s="16">
        <v>13</v>
      </c>
      <c r="AA13" s="16"/>
      <c r="AB13" s="15">
        <f t="shared" si="0"/>
        <v>150</v>
      </c>
      <c r="AC13" s="14">
        <f>AB13*95</f>
        <v>14250</v>
      </c>
      <c r="AD13" s="16">
        <v>23</v>
      </c>
      <c r="AE13" s="16">
        <v>25</v>
      </c>
      <c r="AF13" s="16">
        <v>30</v>
      </c>
      <c r="AG13" s="16" t="s">
        <v>65</v>
      </c>
      <c r="AH13" s="16">
        <v>10</v>
      </c>
      <c r="AI13" s="15">
        <f t="shared" si="4"/>
        <v>88</v>
      </c>
      <c r="AJ13" s="14">
        <f>AI13*95</f>
        <v>8360</v>
      </c>
      <c r="AQ13" s="55" t="s">
        <v>3</v>
      </c>
      <c r="AR13" s="6">
        <f>AM62</f>
        <v>122700</v>
      </c>
    </row>
    <row r="14" spans="2:44" x14ac:dyDescent="0.3">
      <c r="B14" s="17" t="s">
        <v>53</v>
      </c>
      <c r="C14" s="16">
        <v>10</v>
      </c>
      <c r="D14" s="15">
        <f t="shared" si="1"/>
        <v>10</v>
      </c>
      <c r="E14" s="14">
        <f>D14*105</f>
        <v>1050</v>
      </c>
      <c r="F14" s="61">
        <v>40</v>
      </c>
      <c r="G14" s="16">
        <v>56</v>
      </c>
      <c r="H14" s="16">
        <v>48</v>
      </c>
      <c r="I14" s="16">
        <v>28</v>
      </c>
      <c r="J14" s="16">
        <v>12</v>
      </c>
      <c r="K14" s="16"/>
      <c r="L14" s="15">
        <f t="shared" si="2"/>
        <v>184</v>
      </c>
      <c r="M14" s="14">
        <f>L14*105</f>
        <v>19320</v>
      </c>
      <c r="N14" s="16">
        <v>20</v>
      </c>
      <c r="O14" s="16">
        <v>8</v>
      </c>
      <c r="P14" s="16" t="s">
        <v>65</v>
      </c>
      <c r="Q14" s="16">
        <v>45</v>
      </c>
      <c r="R14" s="16">
        <v>10</v>
      </c>
      <c r="S14" s="16">
        <v>16</v>
      </c>
      <c r="T14" s="15">
        <f t="shared" si="3"/>
        <v>99</v>
      </c>
      <c r="U14" s="14">
        <f>T14*105</f>
        <v>10395</v>
      </c>
      <c r="V14" s="16">
        <v>52</v>
      </c>
      <c r="W14" s="16">
        <v>16</v>
      </c>
      <c r="X14" s="16">
        <v>5</v>
      </c>
      <c r="Y14" s="16">
        <v>54</v>
      </c>
      <c r="Z14" s="16">
        <v>5</v>
      </c>
      <c r="AA14" s="16"/>
      <c r="AB14" s="15">
        <f t="shared" si="0"/>
        <v>132</v>
      </c>
      <c r="AC14" s="14">
        <f>AB14*105</f>
        <v>13860</v>
      </c>
      <c r="AD14" s="16">
        <v>35</v>
      </c>
      <c r="AE14" s="16">
        <v>8</v>
      </c>
      <c r="AF14" s="16"/>
      <c r="AG14" s="16" t="s">
        <v>65</v>
      </c>
      <c r="AH14" s="16">
        <v>15</v>
      </c>
      <c r="AI14" s="15">
        <f t="shared" si="4"/>
        <v>58</v>
      </c>
      <c r="AJ14" s="14">
        <f>AI14*105</f>
        <v>6090</v>
      </c>
      <c r="AQ14" s="10"/>
    </row>
    <row r="15" spans="2:44" x14ac:dyDescent="0.3">
      <c r="B15" s="17" t="s">
        <v>52</v>
      </c>
      <c r="C15" s="16"/>
      <c r="D15" s="15">
        <f t="shared" si="1"/>
        <v>0</v>
      </c>
      <c r="E15" s="14">
        <f>D15*110</f>
        <v>0</v>
      </c>
      <c r="F15" s="61">
        <v>10</v>
      </c>
      <c r="G15" s="16">
        <v>26</v>
      </c>
      <c r="H15" s="16">
        <v>20</v>
      </c>
      <c r="I15" s="16">
        <v>1</v>
      </c>
      <c r="J15" s="16">
        <v>6</v>
      </c>
      <c r="K15" s="16"/>
      <c r="L15" s="15">
        <f t="shared" si="2"/>
        <v>63</v>
      </c>
      <c r="M15" s="14">
        <f>L15*110</f>
        <v>6930</v>
      </c>
      <c r="N15" s="16" t="s">
        <v>65</v>
      </c>
      <c r="O15" s="16">
        <v>1</v>
      </c>
      <c r="P15" s="16">
        <v>4</v>
      </c>
      <c r="Q15" s="16">
        <v>15</v>
      </c>
      <c r="R15" s="16">
        <v>6</v>
      </c>
      <c r="S15" s="16" t="s">
        <v>65</v>
      </c>
      <c r="T15" s="15">
        <f t="shared" si="3"/>
        <v>26</v>
      </c>
      <c r="U15" s="14">
        <f>T15*110</f>
        <v>2860</v>
      </c>
      <c r="V15" s="16">
        <v>4</v>
      </c>
      <c r="W15" s="16">
        <v>3</v>
      </c>
      <c r="X15" s="16">
        <v>3</v>
      </c>
      <c r="Y15" s="16">
        <v>16</v>
      </c>
      <c r="Z15" s="16" t="s">
        <v>65</v>
      </c>
      <c r="AA15" s="16"/>
      <c r="AB15" s="15">
        <f t="shared" si="0"/>
        <v>26</v>
      </c>
      <c r="AC15" s="14">
        <f>AB15*110</f>
        <v>2860</v>
      </c>
      <c r="AD15" s="16">
        <v>2</v>
      </c>
      <c r="AE15" s="16">
        <v>3</v>
      </c>
      <c r="AF15" s="16"/>
      <c r="AG15" s="16" t="s">
        <v>65</v>
      </c>
      <c r="AH15" s="16" t="s">
        <v>65</v>
      </c>
      <c r="AI15" s="15">
        <f t="shared" si="4"/>
        <v>5</v>
      </c>
      <c r="AJ15" s="14">
        <f>AI15*110</f>
        <v>550</v>
      </c>
      <c r="AQ15" s="54" t="s">
        <v>51</v>
      </c>
      <c r="AR15" s="53">
        <v>340170</v>
      </c>
    </row>
    <row r="16" spans="2:44" x14ac:dyDescent="0.3">
      <c r="B16" s="17" t="s">
        <v>50</v>
      </c>
      <c r="C16" s="16">
        <v>2</v>
      </c>
      <c r="D16" s="15">
        <f t="shared" si="1"/>
        <v>2</v>
      </c>
      <c r="E16" s="14">
        <f>D16*70</f>
        <v>140</v>
      </c>
      <c r="F16" s="61"/>
      <c r="G16" s="16">
        <v>1</v>
      </c>
      <c r="H16" s="16">
        <v>1</v>
      </c>
      <c r="I16" s="16" t="s">
        <v>65</v>
      </c>
      <c r="J16" s="16">
        <v>2</v>
      </c>
      <c r="K16" s="16"/>
      <c r="L16" s="15">
        <f t="shared" si="2"/>
        <v>4</v>
      </c>
      <c r="M16" s="14">
        <f>L16*70</f>
        <v>280</v>
      </c>
      <c r="N16" s="16">
        <v>1</v>
      </c>
      <c r="O16" s="16" t="s">
        <v>65</v>
      </c>
      <c r="P16" s="16">
        <v>10</v>
      </c>
      <c r="Q16" s="16" t="s">
        <v>65</v>
      </c>
      <c r="R16" s="16" t="s">
        <v>65</v>
      </c>
      <c r="S16" s="16">
        <v>2</v>
      </c>
      <c r="T16" s="15">
        <f t="shared" si="3"/>
        <v>13</v>
      </c>
      <c r="U16" s="14">
        <f>T16*70</f>
        <v>910</v>
      </c>
      <c r="V16" s="16" t="s">
        <v>65</v>
      </c>
      <c r="W16" s="16">
        <v>30</v>
      </c>
      <c r="X16" s="16">
        <v>11</v>
      </c>
      <c r="Y16" s="16">
        <v>5</v>
      </c>
      <c r="Z16" s="16"/>
      <c r="AA16" s="16"/>
      <c r="AB16" s="15">
        <f t="shared" si="0"/>
        <v>46</v>
      </c>
      <c r="AC16" s="14">
        <f>AB16*70</f>
        <v>3220</v>
      </c>
      <c r="AD16" s="20">
        <v>20</v>
      </c>
      <c r="AE16" s="16">
        <v>1</v>
      </c>
      <c r="AF16" s="16">
        <v>18</v>
      </c>
      <c r="AG16" s="16" t="s">
        <v>65</v>
      </c>
      <c r="AH16" s="16" t="s">
        <v>65</v>
      </c>
      <c r="AI16" s="15">
        <f t="shared" si="4"/>
        <v>39</v>
      </c>
      <c r="AJ16" s="14">
        <f>AI16*70</f>
        <v>2730</v>
      </c>
    </row>
    <row r="17" spans="2:40" x14ac:dyDescent="0.3">
      <c r="B17" s="17" t="s">
        <v>28</v>
      </c>
      <c r="C17" s="16" t="s">
        <v>65</v>
      </c>
      <c r="D17" s="15">
        <f t="shared" si="1"/>
        <v>0</v>
      </c>
      <c r="E17" s="14">
        <f>D17*0</f>
        <v>0</v>
      </c>
      <c r="F17" s="61"/>
      <c r="G17" s="16" t="s">
        <v>65</v>
      </c>
      <c r="H17" s="16"/>
      <c r="I17" s="16" t="s">
        <v>65</v>
      </c>
      <c r="J17" s="16"/>
      <c r="K17" s="16"/>
      <c r="L17" s="15">
        <f t="shared" si="2"/>
        <v>0</v>
      </c>
      <c r="M17" s="14">
        <f>L17*0</f>
        <v>0</v>
      </c>
      <c r="N17" s="16" t="s">
        <v>65</v>
      </c>
      <c r="O17" s="16"/>
      <c r="P17" s="16"/>
      <c r="Q17" s="16"/>
      <c r="R17" s="16" t="s">
        <v>65</v>
      </c>
      <c r="S17" s="16" t="s">
        <v>65</v>
      </c>
      <c r="T17" s="15">
        <f t="shared" si="3"/>
        <v>0</v>
      </c>
      <c r="U17" s="14">
        <f>T17*0</f>
        <v>0</v>
      </c>
      <c r="V17" s="16"/>
      <c r="W17" s="16"/>
      <c r="X17" s="16"/>
      <c r="Y17" s="16"/>
      <c r="Z17" s="16"/>
      <c r="AA17" s="16"/>
      <c r="AB17" s="15">
        <f t="shared" si="0"/>
        <v>0</v>
      </c>
      <c r="AC17" s="14">
        <f>AB17*0</f>
        <v>0</v>
      </c>
      <c r="AD17" s="16"/>
      <c r="AE17" s="16"/>
      <c r="AF17" s="16"/>
      <c r="AG17" s="16" t="s">
        <v>65</v>
      </c>
      <c r="AH17" s="16"/>
      <c r="AI17" s="15">
        <f t="shared" si="4"/>
        <v>0</v>
      </c>
      <c r="AJ17" s="14">
        <f>AI17*0</f>
        <v>0</v>
      </c>
    </row>
    <row r="18" spans="2:40" x14ac:dyDescent="0.3">
      <c r="B18" s="17" t="s">
        <v>49</v>
      </c>
      <c r="C18" s="16" t="s">
        <v>65</v>
      </c>
      <c r="D18" s="15">
        <f t="shared" si="1"/>
        <v>0</v>
      </c>
      <c r="E18" s="14">
        <f>D18*0</f>
        <v>0</v>
      </c>
      <c r="F18" s="61"/>
      <c r="G18" s="16" t="s">
        <v>65</v>
      </c>
      <c r="H18" s="16"/>
      <c r="I18" s="16" t="s">
        <v>65</v>
      </c>
      <c r="J18" s="16"/>
      <c r="K18" s="16"/>
      <c r="L18" s="15">
        <f t="shared" si="2"/>
        <v>0</v>
      </c>
      <c r="M18" s="14">
        <f>L18*0</f>
        <v>0</v>
      </c>
      <c r="N18" s="16" t="s">
        <v>65</v>
      </c>
      <c r="O18" s="16"/>
      <c r="P18" s="16"/>
      <c r="Q18" s="16"/>
      <c r="R18" s="16" t="s">
        <v>65</v>
      </c>
      <c r="S18" s="16" t="s">
        <v>65</v>
      </c>
      <c r="T18" s="15">
        <f t="shared" si="3"/>
        <v>0</v>
      </c>
      <c r="U18" s="14">
        <f>T18*0</f>
        <v>0</v>
      </c>
      <c r="V18" s="16"/>
      <c r="W18" s="16" t="s">
        <v>65</v>
      </c>
      <c r="X18" s="16"/>
      <c r="Y18" s="16" t="s">
        <v>65</v>
      </c>
      <c r="Z18" s="16" t="s">
        <v>65</v>
      </c>
      <c r="AA18" s="16"/>
      <c r="AB18" s="15">
        <f t="shared" si="0"/>
        <v>0</v>
      </c>
      <c r="AC18" s="14">
        <f>AB18*0</f>
        <v>0</v>
      </c>
      <c r="AD18" s="16" t="s">
        <v>65</v>
      </c>
      <c r="AE18" s="16"/>
      <c r="AF18" s="16"/>
      <c r="AG18" s="16" t="s">
        <v>65</v>
      </c>
      <c r="AH18" s="16"/>
      <c r="AI18" s="15">
        <f t="shared" si="4"/>
        <v>0</v>
      </c>
      <c r="AJ18" s="14">
        <f>AI18*0</f>
        <v>0</v>
      </c>
    </row>
    <row r="19" spans="2:40" ht="15.6" x14ac:dyDescent="0.3">
      <c r="B19" s="52"/>
      <c r="C19" s="51"/>
      <c r="D19" s="39">
        <f>SUM(D4:D16)</f>
        <v>53</v>
      </c>
      <c r="E19" s="49">
        <f>SUM(E4:E16)</f>
        <v>4051</v>
      </c>
      <c r="F19" s="50"/>
      <c r="G19" s="50"/>
      <c r="H19" s="50"/>
      <c r="I19" s="50"/>
      <c r="J19" s="50"/>
      <c r="K19" s="50"/>
      <c r="L19" s="39">
        <f>SUM(L4:L16)</f>
        <v>925</v>
      </c>
      <c r="M19" s="49">
        <f>SUM(M4:M16)</f>
        <v>75218</v>
      </c>
      <c r="N19" s="50"/>
      <c r="O19" s="50"/>
      <c r="P19" s="50"/>
      <c r="Q19" s="50"/>
      <c r="R19" s="50"/>
      <c r="S19" s="50"/>
      <c r="T19" s="39">
        <f>SUM(T4:T16)</f>
        <v>1319</v>
      </c>
      <c r="U19" s="49">
        <f>SUM(U4:U16)</f>
        <v>90788</v>
      </c>
      <c r="V19" s="50"/>
      <c r="W19" s="50"/>
      <c r="X19" s="50"/>
      <c r="Y19" s="50"/>
      <c r="Z19" s="50"/>
      <c r="AA19" s="50"/>
      <c r="AB19" s="39">
        <f>SUM(AB4:AB16)</f>
        <v>1053</v>
      </c>
      <c r="AC19" s="49">
        <f>SUM(AC4:AC16)</f>
        <v>76324</v>
      </c>
      <c r="AD19" s="50"/>
      <c r="AE19" s="50"/>
      <c r="AF19" s="50"/>
      <c r="AG19" s="50"/>
      <c r="AH19" s="50"/>
      <c r="AI19" s="39">
        <f>SUM(AI4:AI16)</f>
        <v>631</v>
      </c>
      <c r="AJ19" s="49">
        <f>SUM(AJ4:AJ16)</f>
        <v>44288</v>
      </c>
      <c r="AL19" s="47" t="s">
        <v>48</v>
      </c>
      <c r="AM19" s="48">
        <f>D50+L50+T50+AB50+AI50</f>
        <v>4882</v>
      </c>
      <c r="AN19" s="30">
        <f>AM20/AM19</f>
        <v>73.174108971732892</v>
      </c>
    </row>
    <row r="20" spans="2:40" ht="15.6" customHeight="1" x14ac:dyDescent="0.3">
      <c r="B20" s="42" t="s">
        <v>47</v>
      </c>
      <c r="C20" s="16"/>
      <c r="D20" s="15">
        <f t="shared" ref="D20:D47" si="5">SUM(C20:C20)</f>
        <v>0</v>
      </c>
      <c r="E20" s="14">
        <f>D20*85</f>
        <v>0</v>
      </c>
      <c r="F20" s="16"/>
      <c r="G20" s="16">
        <v>8</v>
      </c>
      <c r="H20" s="16">
        <v>3</v>
      </c>
      <c r="I20" s="16" t="s">
        <v>65</v>
      </c>
      <c r="J20" s="16"/>
      <c r="K20" s="16"/>
      <c r="L20" s="15">
        <f t="shared" ref="L20:L47" si="6">SUM(F20:K20)</f>
        <v>11</v>
      </c>
      <c r="M20" s="14">
        <f>L20*85</f>
        <v>935</v>
      </c>
      <c r="N20" s="16"/>
      <c r="O20" s="16" t="s">
        <v>65</v>
      </c>
      <c r="P20" s="16">
        <v>15</v>
      </c>
      <c r="Q20" s="16" t="s">
        <v>65</v>
      </c>
      <c r="R20" s="16">
        <v>50</v>
      </c>
      <c r="S20" s="16" t="s">
        <v>65</v>
      </c>
      <c r="T20" s="15">
        <f t="shared" ref="T20:T47" si="7">SUM(N20:S20)</f>
        <v>65</v>
      </c>
      <c r="U20" s="14">
        <f>T20*85</f>
        <v>5525</v>
      </c>
      <c r="V20" s="16"/>
      <c r="W20" s="16">
        <v>20</v>
      </c>
      <c r="X20" s="16">
        <v>17</v>
      </c>
      <c r="Y20" s="16"/>
      <c r="Z20" s="16"/>
      <c r="AA20" s="16"/>
      <c r="AB20" s="15">
        <f t="shared" ref="AB20:AB43" si="8">SUM(V20:AA20)</f>
        <v>37</v>
      </c>
      <c r="AC20" s="14">
        <f>AB20*85</f>
        <v>3145</v>
      </c>
      <c r="AD20" s="16">
        <v>25</v>
      </c>
      <c r="AE20" s="16"/>
      <c r="AF20" s="16"/>
      <c r="AG20" s="16" t="s">
        <v>65</v>
      </c>
      <c r="AH20" s="16">
        <v>5</v>
      </c>
      <c r="AI20" s="15">
        <f>SUM(AD20:AH20)</f>
        <v>30</v>
      </c>
      <c r="AJ20" s="14">
        <f>AI20*85</f>
        <v>2550</v>
      </c>
      <c r="AL20" s="47" t="s">
        <v>3</v>
      </c>
      <c r="AM20" s="46">
        <f>E50+M50+U50+AC50+AJ50</f>
        <v>357236</v>
      </c>
    </row>
    <row r="21" spans="2:40" x14ac:dyDescent="0.3">
      <c r="B21" s="42" t="s">
        <v>46</v>
      </c>
      <c r="C21" s="16"/>
      <c r="D21" s="15">
        <f t="shared" si="5"/>
        <v>0</v>
      </c>
      <c r="E21" s="14">
        <f>D21*84</f>
        <v>0</v>
      </c>
      <c r="F21" s="16"/>
      <c r="G21" s="16">
        <v>6</v>
      </c>
      <c r="H21" s="16" t="s">
        <v>65</v>
      </c>
      <c r="I21" s="16">
        <v>10</v>
      </c>
      <c r="J21" s="16"/>
      <c r="K21" s="16"/>
      <c r="L21" s="15">
        <f t="shared" si="6"/>
        <v>16</v>
      </c>
      <c r="M21" s="14">
        <f>L21*84</f>
        <v>1344</v>
      </c>
      <c r="N21" s="16"/>
      <c r="O21" s="16" t="s">
        <v>65</v>
      </c>
      <c r="P21" s="16" t="s">
        <v>65</v>
      </c>
      <c r="Q21" s="16"/>
      <c r="R21" s="16">
        <v>60</v>
      </c>
      <c r="S21" s="16" t="s">
        <v>65</v>
      </c>
      <c r="T21" s="15">
        <f t="shared" si="7"/>
        <v>60</v>
      </c>
      <c r="U21" s="14">
        <f>T21*84</f>
        <v>5040</v>
      </c>
      <c r="V21" s="16"/>
      <c r="W21" s="16">
        <v>5</v>
      </c>
      <c r="X21" s="16">
        <v>35</v>
      </c>
      <c r="Y21" s="16">
        <v>5</v>
      </c>
      <c r="Z21" s="16"/>
      <c r="AA21" s="16"/>
      <c r="AB21" s="15">
        <f t="shared" si="8"/>
        <v>45</v>
      </c>
      <c r="AC21" s="14">
        <f>AB21*84</f>
        <v>3780</v>
      </c>
      <c r="AD21" s="16">
        <v>24</v>
      </c>
      <c r="AE21" s="16"/>
      <c r="AF21" s="16"/>
      <c r="AG21" s="16" t="s">
        <v>65</v>
      </c>
      <c r="AH21" s="16" t="s">
        <v>65</v>
      </c>
      <c r="AI21" s="15">
        <f t="shared" ref="AI21:AI43" si="9">SUM(AD21:AH21)</f>
        <v>24</v>
      </c>
      <c r="AJ21" s="14">
        <f>AI21*84</f>
        <v>2016</v>
      </c>
    </row>
    <row r="22" spans="2:40" x14ac:dyDescent="0.3">
      <c r="B22" s="42" t="s">
        <v>45</v>
      </c>
      <c r="C22" s="16"/>
      <c r="D22" s="15">
        <f t="shared" si="5"/>
        <v>0</v>
      </c>
      <c r="E22" s="14">
        <f>D22*85</f>
        <v>0</v>
      </c>
      <c r="F22" s="16"/>
      <c r="G22" s="16">
        <v>14</v>
      </c>
      <c r="H22" s="16">
        <v>2</v>
      </c>
      <c r="I22" s="16" t="s">
        <v>65</v>
      </c>
      <c r="J22" s="16"/>
      <c r="K22" s="16"/>
      <c r="L22" s="15">
        <f t="shared" si="6"/>
        <v>16</v>
      </c>
      <c r="M22" s="14">
        <f>L22*85</f>
        <v>1360</v>
      </c>
      <c r="N22" s="16">
        <v>10</v>
      </c>
      <c r="O22" s="16" t="s">
        <v>65</v>
      </c>
      <c r="P22" s="16" t="s">
        <v>65</v>
      </c>
      <c r="Q22" s="16"/>
      <c r="R22" s="16" t="s">
        <v>65</v>
      </c>
      <c r="S22" s="16" t="s">
        <v>65</v>
      </c>
      <c r="T22" s="15">
        <f t="shared" si="7"/>
        <v>10</v>
      </c>
      <c r="U22" s="14">
        <f>T22*85</f>
        <v>850</v>
      </c>
      <c r="V22" s="16"/>
      <c r="W22" s="16">
        <v>10</v>
      </c>
      <c r="X22" s="16">
        <v>15</v>
      </c>
      <c r="Y22" s="16"/>
      <c r="Z22" s="16"/>
      <c r="AA22" s="16"/>
      <c r="AB22" s="15">
        <f t="shared" si="8"/>
        <v>25</v>
      </c>
      <c r="AC22" s="14">
        <f>AB22*85</f>
        <v>2125</v>
      </c>
      <c r="AD22" s="16">
        <v>15</v>
      </c>
      <c r="AE22" s="16">
        <v>1</v>
      </c>
      <c r="AF22" s="16">
        <v>5</v>
      </c>
      <c r="AG22" s="16" t="s">
        <v>65</v>
      </c>
      <c r="AH22" s="16" t="s">
        <v>65</v>
      </c>
      <c r="AI22" s="15">
        <f t="shared" si="9"/>
        <v>21</v>
      </c>
      <c r="AJ22" s="14">
        <f>AI22*85</f>
        <v>1785</v>
      </c>
    </row>
    <row r="23" spans="2:40" x14ac:dyDescent="0.3">
      <c r="B23" s="42" t="s">
        <v>44</v>
      </c>
      <c r="C23" s="16"/>
      <c r="D23" s="15">
        <f t="shared" si="5"/>
        <v>0</v>
      </c>
      <c r="E23" s="14">
        <f>D23*85</f>
        <v>0</v>
      </c>
      <c r="F23" s="16"/>
      <c r="G23" s="16">
        <v>1</v>
      </c>
      <c r="H23" s="16">
        <v>1</v>
      </c>
      <c r="I23" s="16" t="s">
        <v>65</v>
      </c>
      <c r="J23" s="16"/>
      <c r="K23" s="16"/>
      <c r="L23" s="15">
        <f t="shared" si="6"/>
        <v>2</v>
      </c>
      <c r="M23" s="14">
        <f>L23*85</f>
        <v>170</v>
      </c>
      <c r="N23" s="16"/>
      <c r="O23" s="16">
        <v>10</v>
      </c>
      <c r="P23" s="16" t="s">
        <v>65</v>
      </c>
      <c r="Q23" s="16"/>
      <c r="R23" s="16"/>
      <c r="S23" s="16"/>
      <c r="T23" s="15">
        <f t="shared" si="7"/>
        <v>10</v>
      </c>
      <c r="U23" s="14">
        <f>T23*85</f>
        <v>850</v>
      </c>
      <c r="V23" s="16"/>
      <c r="W23" s="16">
        <v>8</v>
      </c>
      <c r="X23" s="16">
        <v>15</v>
      </c>
      <c r="Y23" s="16">
        <v>20</v>
      </c>
      <c r="Z23" s="16"/>
      <c r="AA23" s="16"/>
      <c r="AB23" s="15">
        <f t="shared" si="8"/>
        <v>43</v>
      </c>
      <c r="AC23" s="14">
        <f>AB23*85</f>
        <v>3655</v>
      </c>
      <c r="AD23" s="16" t="s">
        <v>65</v>
      </c>
      <c r="AE23" s="16"/>
      <c r="AF23" s="16"/>
      <c r="AG23" s="16" t="s">
        <v>65</v>
      </c>
      <c r="AH23" s="16">
        <v>7</v>
      </c>
      <c r="AI23" s="15">
        <f t="shared" si="9"/>
        <v>7</v>
      </c>
      <c r="AJ23" s="14">
        <f>AI23*85</f>
        <v>595</v>
      </c>
    </row>
    <row r="24" spans="2:40" ht="15.6" x14ac:dyDescent="0.3">
      <c r="B24" s="42" t="s">
        <v>43</v>
      </c>
      <c r="C24" s="16"/>
      <c r="D24" s="15">
        <f t="shared" si="5"/>
        <v>0</v>
      </c>
      <c r="E24" s="14">
        <f>D24*85</f>
        <v>0</v>
      </c>
      <c r="F24" s="16"/>
      <c r="G24" s="16">
        <v>1</v>
      </c>
      <c r="H24" s="16"/>
      <c r="I24" s="16" t="s">
        <v>65</v>
      </c>
      <c r="J24" s="16"/>
      <c r="K24" s="16"/>
      <c r="L24" s="15">
        <f t="shared" si="6"/>
        <v>1</v>
      </c>
      <c r="M24" s="14">
        <f>L24*85</f>
        <v>85</v>
      </c>
      <c r="N24" s="16"/>
      <c r="O24" s="16">
        <v>1</v>
      </c>
      <c r="P24" s="16" t="s">
        <v>65</v>
      </c>
      <c r="Q24" s="16"/>
      <c r="R24" s="16"/>
      <c r="S24" s="16"/>
      <c r="T24" s="15">
        <f t="shared" si="7"/>
        <v>1</v>
      </c>
      <c r="U24" s="14">
        <f>T24*85</f>
        <v>85</v>
      </c>
      <c r="V24" s="16"/>
      <c r="W24" s="16" t="s">
        <v>65</v>
      </c>
      <c r="X24" s="16"/>
      <c r="Y24" s="16">
        <v>5</v>
      </c>
      <c r="Z24" s="16"/>
      <c r="AA24" s="16"/>
      <c r="AB24" s="15">
        <f t="shared" si="8"/>
        <v>5</v>
      </c>
      <c r="AC24" s="14">
        <f>AB24*85</f>
        <v>425</v>
      </c>
      <c r="AD24" s="16" t="s">
        <v>65</v>
      </c>
      <c r="AE24" s="16"/>
      <c r="AF24" s="16"/>
      <c r="AG24" s="16" t="s">
        <v>65</v>
      </c>
      <c r="AH24" s="16" t="s">
        <v>65</v>
      </c>
      <c r="AI24" s="15">
        <f t="shared" si="9"/>
        <v>0</v>
      </c>
      <c r="AJ24" s="14">
        <f>AI24*85</f>
        <v>0</v>
      </c>
      <c r="AL24" s="70" t="s">
        <v>42</v>
      </c>
      <c r="AM24" s="70"/>
    </row>
    <row r="25" spans="2:40" ht="15.6" x14ac:dyDescent="0.3">
      <c r="B25" s="42" t="s">
        <v>41</v>
      </c>
      <c r="C25" s="16"/>
      <c r="D25" s="15">
        <f t="shared" si="5"/>
        <v>0</v>
      </c>
      <c r="E25" s="14">
        <f>D25*84</f>
        <v>0</v>
      </c>
      <c r="F25" s="16"/>
      <c r="G25" s="16" t="s">
        <v>65</v>
      </c>
      <c r="H25" s="16"/>
      <c r="I25" s="16" t="s">
        <v>65</v>
      </c>
      <c r="J25" s="16"/>
      <c r="K25" s="16"/>
      <c r="L25" s="15">
        <f t="shared" si="6"/>
        <v>0</v>
      </c>
      <c r="M25" s="14">
        <f>L25*84</f>
        <v>0</v>
      </c>
      <c r="N25" s="16"/>
      <c r="O25" s="16" t="s">
        <v>65</v>
      </c>
      <c r="P25" s="16">
        <v>10</v>
      </c>
      <c r="Q25" s="16"/>
      <c r="R25" s="16"/>
      <c r="S25" s="16"/>
      <c r="T25" s="15">
        <f t="shared" si="7"/>
        <v>10</v>
      </c>
      <c r="U25" s="14">
        <f>T25*84</f>
        <v>840</v>
      </c>
      <c r="V25" s="16"/>
      <c r="W25" s="16">
        <v>10</v>
      </c>
      <c r="X25" s="16"/>
      <c r="Y25" s="16"/>
      <c r="Z25" s="16"/>
      <c r="AA25" s="16"/>
      <c r="AB25" s="15">
        <f t="shared" si="8"/>
        <v>10</v>
      </c>
      <c r="AC25" s="14">
        <f>AB25*84</f>
        <v>840</v>
      </c>
      <c r="AD25" s="16">
        <v>15</v>
      </c>
      <c r="AE25" s="16"/>
      <c r="AF25" s="16"/>
      <c r="AG25" s="16" t="s">
        <v>65</v>
      </c>
      <c r="AH25" s="16" t="s">
        <v>65</v>
      </c>
      <c r="AI25" s="15">
        <f t="shared" si="9"/>
        <v>15</v>
      </c>
      <c r="AJ25" s="14">
        <f>AI25*84</f>
        <v>1260</v>
      </c>
      <c r="AL25" s="45" t="s">
        <v>40</v>
      </c>
      <c r="AM25" s="44">
        <f>D13+L13+T13+AB13+AI13</f>
        <v>642</v>
      </c>
    </row>
    <row r="26" spans="2:40" ht="15.6" x14ac:dyDescent="0.3">
      <c r="B26" s="42" t="s">
        <v>39</v>
      </c>
      <c r="C26" s="16"/>
      <c r="D26" s="15">
        <f t="shared" si="5"/>
        <v>0</v>
      </c>
      <c r="E26" s="14">
        <f>D26*85</f>
        <v>0</v>
      </c>
      <c r="F26" s="16"/>
      <c r="G26" s="16">
        <v>1</v>
      </c>
      <c r="H26" s="16"/>
      <c r="I26" s="16" t="s">
        <v>65</v>
      </c>
      <c r="J26" s="16"/>
      <c r="K26" s="16"/>
      <c r="L26" s="15">
        <f t="shared" si="6"/>
        <v>1</v>
      </c>
      <c r="M26" s="14">
        <f>L26*85</f>
        <v>85</v>
      </c>
      <c r="N26" s="16"/>
      <c r="O26" s="16" t="s">
        <v>65</v>
      </c>
      <c r="P26" s="16" t="s">
        <v>65</v>
      </c>
      <c r="Q26" s="16"/>
      <c r="R26" s="16"/>
      <c r="S26" s="16"/>
      <c r="T26" s="15">
        <f t="shared" si="7"/>
        <v>0</v>
      </c>
      <c r="U26" s="14">
        <f>T26*85</f>
        <v>0</v>
      </c>
      <c r="V26" s="16"/>
      <c r="W26" s="16" t="s">
        <v>65</v>
      </c>
      <c r="X26" s="16"/>
      <c r="Y26" s="16">
        <v>10</v>
      </c>
      <c r="Z26" s="16"/>
      <c r="AA26" s="16"/>
      <c r="AB26" s="15">
        <f t="shared" si="8"/>
        <v>10</v>
      </c>
      <c r="AC26" s="14">
        <f>AB26*85</f>
        <v>850</v>
      </c>
      <c r="AD26" s="16">
        <v>5</v>
      </c>
      <c r="AE26" s="16"/>
      <c r="AF26" s="16"/>
      <c r="AG26" s="16" t="s">
        <v>65</v>
      </c>
      <c r="AH26" s="16" t="s">
        <v>65</v>
      </c>
      <c r="AI26" s="15">
        <f t="shared" si="9"/>
        <v>5</v>
      </c>
      <c r="AJ26" s="14">
        <f>AI26*85</f>
        <v>425</v>
      </c>
      <c r="AL26" s="45" t="s">
        <v>38</v>
      </c>
      <c r="AM26" s="44">
        <f>D14+L14+T14+AB14+AI14</f>
        <v>483</v>
      </c>
    </row>
    <row r="27" spans="2:40" ht="15.6" x14ac:dyDescent="0.3">
      <c r="B27" s="42" t="s">
        <v>37</v>
      </c>
      <c r="C27" s="16"/>
      <c r="D27" s="15">
        <f t="shared" si="5"/>
        <v>0</v>
      </c>
      <c r="E27" s="14">
        <f>D27*85</f>
        <v>0</v>
      </c>
      <c r="F27" s="16"/>
      <c r="G27" s="16"/>
      <c r="H27" s="16"/>
      <c r="I27" s="16" t="s">
        <v>65</v>
      </c>
      <c r="J27" s="16"/>
      <c r="K27" s="16"/>
      <c r="L27" s="15">
        <f t="shared" si="6"/>
        <v>0</v>
      </c>
      <c r="M27" s="14">
        <f>L27*85</f>
        <v>0</v>
      </c>
      <c r="N27" s="16"/>
      <c r="O27" s="16" t="s">
        <v>65</v>
      </c>
      <c r="P27" s="16" t="s">
        <v>65</v>
      </c>
      <c r="Q27" s="16"/>
      <c r="R27" s="16"/>
      <c r="S27" s="16"/>
      <c r="T27" s="15">
        <f t="shared" si="7"/>
        <v>0</v>
      </c>
      <c r="U27" s="14">
        <f>T27*85</f>
        <v>0</v>
      </c>
      <c r="V27" s="16"/>
      <c r="W27" s="16" t="s">
        <v>65</v>
      </c>
      <c r="X27" s="16"/>
      <c r="Y27" s="16"/>
      <c r="Z27" s="16"/>
      <c r="AA27" s="16"/>
      <c r="AB27" s="15">
        <f t="shared" si="8"/>
        <v>0</v>
      </c>
      <c r="AC27" s="14">
        <f>AB27*85</f>
        <v>0</v>
      </c>
      <c r="AD27" s="16"/>
      <c r="AE27" s="16"/>
      <c r="AF27" s="16"/>
      <c r="AG27" s="16" t="s">
        <v>65</v>
      </c>
      <c r="AH27" s="16" t="s">
        <v>65</v>
      </c>
      <c r="AI27" s="15">
        <f t="shared" si="9"/>
        <v>0</v>
      </c>
      <c r="AJ27" s="14">
        <f>AI27*85</f>
        <v>0</v>
      </c>
      <c r="AL27" s="45" t="s">
        <v>36</v>
      </c>
      <c r="AM27" s="44">
        <f>D15+L15+T15+AB15+AI15</f>
        <v>120</v>
      </c>
    </row>
    <row r="28" spans="2:40" x14ac:dyDescent="0.3">
      <c r="B28" s="42" t="s">
        <v>35</v>
      </c>
      <c r="C28" s="16"/>
      <c r="D28" s="15">
        <f t="shared" si="5"/>
        <v>0</v>
      </c>
      <c r="E28" s="14">
        <f>D28*75</f>
        <v>0</v>
      </c>
      <c r="F28" s="16"/>
      <c r="G28" s="16">
        <v>11</v>
      </c>
      <c r="H28" s="16"/>
      <c r="I28" s="16" t="s">
        <v>65</v>
      </c>
      <c r="J28" s="16"/>
      <c r="K28" s="16"/>
      <c r="L28" s="15">
        <f t="shared" si="6"/>
        <v>11</v>
      </c>
      <c r="M28" s="14">
        <f>L28*75</f>
        <v>825</v>
      </c>
      <c r="N28" s="16">
        <v>11</v>
      </c>
      <c r="O28" s="16" t="s">
        <v>65</v>
      </c>
      <c r="P28" s="16" t="s">
        <v>65</v>
      </c>
      <c r="Q28" s="16"/>
      <c r="R28" s="20"/>
      <c r="S28" s="16"/>
      <c r="T28" s="15">
        <f t="shared" si="7"/>
        <v>11</v>
      </c>
      <c r="U28" s="14">
        <f>T28*75</f>
        <v>825</v>
      </c>
      <c r="V28" s="16"/>
      <c r="W28" s="16" t="s">
        <v>65</v>
      </c>
      <c r="X28" s="16">
        <v>13</v>
      </c>
      <c r="Y28" s="16"/>
      <c r="Z28" s="16"/>
      <c r="AA28" s="16">
        <v>5</v>
      </c>
      <c r="AB28" s="15">
        <f t="shared" si="8"/>
        <v>18</v>
      </c>
      <c r="AC28" s="14">
        <f>AB28*75</f>
        <v>1350</v>
      </c>
      <c r="AD28" s="16"/>
      <c r="AE28" s="16"/>
      <c r="AF28" s="16"/>
      <c r="AG28" s="16" t="s">
        <v>65</v>
      </c>
      <c r="AH28" s="16">
        <v>10</v>
      </c>
      <c r="AI28" s="15">
        <f t="shared" si="9"/>
        <v>10</v>
      </c>
      <c r="AJ28" s="14">
        <f>AI28*75</f>
        <v>750</v>
      </c>
      <c r="AM28" s="43">
        <f>SUM(AM25:AM27)</f>
        <v>1245</v>
      </c>
    </row>
    <row r="29" spans="2:40" x14ac:dyDescent="0.3">
      <c r="B29" s="42" t="s">
        <v>34</v>
      </c>
      <c r="C29" s="16"/>
      <c r="D29" s="15">
        <f t="shared" si="5"/>
        <v>0</v>
      </c>
      <c r="E29" s="14">
        <f>D29*75</f>
        <v>0</v>
      </c>
      <c r="F29" s="16">
        <v>7</v>
      </c>
      <c r="G29" s="16"/>
      <c r="H29" s="16"/>
      <c r="I29" s="16" t="s">
        <v>65</v>
      </c>
      <c r="J29" s="16"/>
      <c r="K29" s="16"/>
      <c r="L29" s="15">
        <f t="shared" si="6"/>
        <v>7</v>
      </c>
      <c r="M29" s="14">
        <f>L29*75</f>
        <v>525</v>
      </c>
      <c r="N29" s="16"/>
      <c r="O29" s="16" t="s">
        <v>65</v>
      </c>
      <c r="P29" s="16" t="s">
        <v>65</v>
      </c>
      <c r="Q29" s="16"/>
      <c r="R29" s="16"/>
      <c r="S29" s="16"/>
      <c r="T29" s="15">
        <f t="shared" si="7"/>
        <v>0</v>
      </c>
      <c r="U29" s="14">
        <f>T29*75</f>
        <v>0</v>
      </c>
      <c r="V29" s="16"/>
      <c r="W29" s="16" t="s">
        <v>65</v>
      </c>
      <c r="X29" s="16"/>
      <c r="Y29" s="16"/>
      <c r="Z29" s="16"/>
      <c r="AA29" s="16"/>
      <c r="AB29" s="15">
        <f t="shared" si="8"/>
        <v>0</v>
      </c>
      <c r="AC29" s="14">
        <f>AB29*75</f>
        <v>0</v>
      </c>
      <c r="AD29" s="16">
        <v>10</v>
      </c>
      <c r="AE29" s="16"/>
      <c r="AF29" s="16"/>
      <c r="AG29" s="16" t="s">
        <v>65</v>
      </c>
      <c r="AH29" s="16"/>
      <c r="AI29" s="15">
        <f t="shared" si="9"/>
        <v>10</v>
      </c>
      <c r="AJ29" s="14">
        <f>AI29*75</f>
        <v>750</v>
      </c>
    </row>
    <row r="30" spans="2:40" x14ac:dyDescent="0.3">
      <c r="B30" s="42" t="s">
        <v>33</v>
      </c>
      <c r="C30" s="16"/>
      <c r="D30" s="15">
        <f t="shared" si="5"/>
        <v>0</v>
      </c>
      <c r="E30" s="14">
        <f>D30*78</f>
        <v>0</v>
      </c>
      <c r="F30" s="16"/>
      <c r="G30" s="16">
        <v>11</v>
      </c>
      <c r="H30" s="16">
        <v>4</v>
      </c>
      <c r="I30" s="16">
        <v>10</v>
      </c>
      <c r="J30" s="16"/>
      <c r="K30" s="16"/>
      <c r="L30" s="15">
        <f t="shared" si="6"/>
        <v>25</v>
      </c>
      <c r="M30" s="14">
        <f>L30*78</f>
        <v>1950</v>
      </c>
      <c r="N30" s="16">
        <v>3</v>
      </c>
      <c r="O30" s="16">
        <v>5</v>
      </c>
      <c r="P30" s="16">
        <v>8</v>
      </c>
      <c r="Q30" s="16"/>
      <c r="R30" s="16">
        <v>6</v>
      </c>
      <c r="S30" s="16"/>
      <c r="T30" s="15">
        <f t="shared" si="7"/>
        <v>22</v>
      </c>
      <c r="U30" s="14">
        <f>T30*78</f>
        <v>1716</v>
      </c>
      <c r="V30" s="16">
        <v>2</v>
      </c>
      <c r="W30" s="16">
        <v>21</v>
      </c>
      <c r="X30" s="16">
        <v>5</v>
      </c>
      <c r="Y30" s="16">
        <v>7</v>
      </c>
      <c r="Z30" s="16"/>
      <c r="AA30" s="16"/>
      <c r="AB30" s="15">
        <f t="shared" si="8"/>
        <v>35</v>
      </c>
      <c r="AC30" s="14">
        <f>AB30*78</f>
        <v>2730</v>
      </c>
      <c r="AD30" s="16"/>
      <c r="AE30" s="16">
        <v>7</v>
      </c>
      <c r="AF30" s="16">
        <v>10</v>
      </c>
      <c r="AG30" s="16" t="s">
        <v>65</v>
      </c>
      <c r="AH30" s="16"/>
      <c r="AI30" s="15">
        <f t="shared" si="9"/>
        <v>17</v>
      </c>
      <c r="AJ30" s="14">
        <f>AI30*78</f>
        <v>1326</v>
      </c>
    </row>
    <row r="31" spans="2:40" x14ac:dyDescent="0.3">
      <c r="B31" s="42" t="s">
        <v>32</v>
      </c>
      <c r="C31" s="16"/>
      <c r="D31" s="15">
        <f t="shared" si="5"/>
        <v>0</v>
      </c>
      <c r="E31" s="14">
        <f>D31*70</f>
        <v>0</v>
      </c>
      <c r="F31" s="16"/>
      <c r="G31" s="16"/>
      <c r="H31" s="16"/>
      <c r="I31" s="16"/>
      <c r="J31" s="16"/>
      <c r="K31" s="16"/>
      <c r="L31" s="15">
        <f t="shared" si="6"/>
        <v>0</v>
      </c>
      <c r="M31" s="14">
        <f>L31*70</f>
        <v>0</v>
      </c>
      <c r="N31" s="16"/>
      <c r="O31" s="16"/>
      <c r="P31" s="16" t="s">
        <v>65</v>
      </c>
      <c r="Q31" s="16"/>
      <c r="R31" s="16"/>
      <c r="S31" s="16"/>
      <c r="T31" s="15">
        <f t="shared" si="7"/>
        <v>0</v>
      </c>
      <c r="U31" s="14">
        <f>T31*70</f>
        <v>0</v>
      </c>
      <c r="V31" s="16"/>
      <c r="W31" s="16" t="s">
        <v>65</v>
      </c>
      <c r="X31" s="16"/>
      <c r="Y31" s="16"/>
      <c r="Z31" s="16"/>
      <c r="AA31" s="16"/>
      <c r="AB31" s="15">
        <f t="shared" si="8"/>
        <v>0</v>
      </c>
      <c r="AC31" s="14">
        <f>AB31*70</f>
        <v>0</v>
      </c>
      <c r="AD31" s="16"/>
      <c r="AE31" s="16"/>
      <c r="AF31" s="16"/>
      <c r="AG31" s="16" t="s">
        <v>65</v>
      </c>
      <c r="AH31" s="16"/>
      <c r="AI31" s="15">
        <f t="shared" si="9"/>
        <v>0</v>
      </c>
      <c r="AJ31" s="14">
        <f>AI31*70</f>
        <v>0</v>
      </c>
    </row>
    <row r="32" spans="2:40" x14ac:dyDescent="0.3">
      <c r="B32" s="42" t="s">
        <v>31</v>
      </c>
      <c r="C32" s="16"/>
      <c r="D32" s="15">
        <f t="shared" si="5"/>
        <v>0</v>
      </c>
      <c r="E32" s="14">
        <f>D32*60</f>
        <v>0</v>
      </c>
      <c r="F32" s="16"/>
      <c r="G32" s="16"/>
      <c r="H32" s="16"/>
      <c r="I32" s="16"/>
      <c r="J32" s="16"/>
      <c r="K32" s="16"/>
      <c r="L32" s="15">
        <f t="shared" si="6"/>
        <v>0</v>
      </c>
      <c r="M32" s="14">
        <f>L32*60</f>
        <v>0</v>
      </c>
      <c r="N32" s="16"/>
      <c r="O32" s="16"/>
      <c r="P32" s="16" t="s">
        <v>65</v>
      </c>
      <c r="Q32" s="16"/>
      <c r="R32" s="16"/>
      <c r="S32" s="16"/>
      <c r="T32" s="15">
        <f t="shared" si="7"/>
        <v>0</v>
      </c>
      <c r="U32" s="14">
        <f>T32*60</f>
        <v>0</v>
      </c>
      <c r="V32" s="16"/>
      <c r="W32" s="16"/>
      <c r="X32" s="16"/>
      <c r="Y32" s="16"/>
      <c r="Z32" s="16"/>
      <c r="AA32" s="16"/>
      <c r="AB32" s="15">
        <f t="shared" si="8"/>
        <v>0</v>
      </c>
      <c r="AC32" s="14">
        <f>AB32*60</f>
        <v>0</v>
      </c>
      <c r="AD32" s="16"/>
      <c r="AE32" s="16"/>
      <c r="AF32" s="16" t="s">
        <v>65</v>
      </c>
      <c r="AG32" s="16" t="s">
        <v>65</v>
      </c>
      <c r="AH32" s="16" t="s">
        <v>65</v>
      </c>
      <c r="AI32" s="15">
        <f t="shared" si="9"/>
        <v>0</v>
      </c>
      <c r="AJ32" s="14">
        <f>AI32*60</f>
        <v>0</v>
      </c>
    </row>
    <row r="33" spans="2:40" x14ac:dyDescent="0.3">
      <c r="B33" s="42" t="s">
        <v>30</v>
      </c>
      <c r="C33" s="16"/>
      <c r="D33" s="15">
        <f t="shared" si="5"/>
        <v>0</v>
      </c>
      <c r="E33" s="14">
        <f>D33*60</f>
        <v>0</v>
      </c>
      <c r="F33" s="16"/>
      <c r="G33" s="16"/>
      <c r="H33" s="16"/>
      <c r="I33" s="16"/>
      <c r="J33" s="16"/>
      <c r="K33" s="16"/>
      <c r="L33" s="15">
        <f t="shared" si="6"/>
        <v>0</v>
      </c>
      <c r="M33" s="14">
        <f>L33*60</f>
        <v>0</v>
      </c>
      <c r="N33" s="16"/>
      <c r="O33" s="16"/>
      <c r="P33" s="16" t="s">
        <v>65</v>
      </c>
      <c r="Q33" s="16"/>
      <c r="R33" s="16"/>
      <c r="S33" s="16"/>
      <c r="T33" s="15">
        <f t="shared" si="7"/>
        <v>0</v>
      </c>
      <c r="U33" s="14">
        <f>T33*60</f>
        <v>0</v>
      </c>
      <c r="V33" s="16"/>
      <c r="W33" s="16"/>
      <c r="X33" s="16"/>
      <c r="Y33" s="16"/>
      <c r="Z33" s="16"/>
      <c r="AA33" s="16"/>
      <c r="AB33" s="15">
        <f t="shared" si="8"/>
        <v>0</v>
      </c>
      <c r="AC33" s="14">
        <f>AB33*60</f>
        <v>0</v>
      </c>
      <c r="AD33" s="16"/>
      <c r="AE33" s="16"/>
      <c r="AF33" s="16"/>
      <c r="AG33" s="16" t="s">
        <v>65</v>
      </c>
      <c r="AH33" s="16"/>
      <c r="AI33" s="15">
        <f t="shared" si="9"/>
        <v>0</v>
      </c>
      <c r="AJ33" s="14">
        <f>AI33*60</f>
        <v>0</v>
      </c>
    </row>
    <row r="34" spans="2:40" x14ac:dyDescent="0.3">
      <c r="B34" s="42" t="s">
        <v>29</v>
      </c>
      <c r="C34" s="16"/>
      <c r="D34" s="15">
        <f t="shared" si="5"/>
        <v>0</v>
      </c>
      <c r="E34" s="14">
        <f>D34*40</f>
        <v>0</v>
      </c>
      <c r="F34" s="16"/>
      <c r="G34" s="16"/>
      <c r="H34" s="16"/>
      <c r="I34" s="16"/>
      <c r="J34" s="16"/>
      <c r="K34" s="16"/>
      <c r="L34" s="15">
        <f t="shared" si="6"/>
        <v>0</v>
      </c>
      <c r="M34" s="14">
        <f>L34*40</f>
        <v>0</v>
      </c>
      <c r="N34" s="16"/>
      <c r="O34" s="16"/>
      <c r="P34" s="16" t="s">
        <v>65</v>
      </c>
      <c r="Q34" s="16"/>
      <c r="R34" s="16"/>
      <c r="S34" s="16"/>
      <c r="T34" s="15">
        <f t="shared" si="7"/>
        <v>0</v>
      </c>
      <c r="U34" s="14">
        <f>T34*40</f>
        <v>0</v>
      </c>
      <c r="V34" s="16"/>
      <c r="W34" s="16"/>
      <c r="X34" s="16"/>
      <c r="Y34" s="16"/>
      <c r="Z34" s="16"/>
      <c r="AA34" s="16"/>
      <c r="AB34" s="15">
        <f t="shared" si="8"/>
        <v>0</v>
      </c>
      <c r="AC34" s="14">
        <f>AB34*40</f>
        <v>0</v>
      </c>
      <c r="AD34" s="16"/>
      <c r="AE34" s="16"/>
      <c r="AF34" s="16"/>
      <c r="AG34" s="16" t="s">
        <v>65</v>
      </c>
      <c r="AH34" s="16"/>
      <c r="AI34" s="15">
        <f t="shared" si="9"/>
        <v>0</v>
      </c>
      <c r="AJ34" s="14">
        <f>AI34*40</f>
        <v>0</v>
      </c>
    </row>
    <row r="35" spans="2:40" x14ac:dyDescent="0.3">
      <c r="B35" s="42" t="s">
        <v>28</v>
      </c>
      <c r="C35" s="16">
        <v>20</v>
      </c>
      <c r="D35" s="15">
        <f t="shared" si="5"/>
        <v>20</v>
      </c>
      <c r="E35" s="14">
        <f>D35*40</f>
        <v>800</v>
      </c>
      <c r="F35" s="16"/>
      <c r="G35" s="16"/>
      <c r="H35" s="16">
        <v>30</v>
      </c>
      <c r="I35" s="16"/>
      <c r="J35" s="16">
        <v>24</v>
      </c>
      <c r="K35" s="16"/>
      <c r="L35" s="15">
        <f t="shared" si="6"/>
        <v>54</v>
      </c>
      <c r="M35" s="14">
        <f>L35*40</f>
        <v>2160</v>
      </c>
      <c r="N35" s="16"/>
      <c r="O35" s="16"/>
      <c r="P35" s="16" t="s">
        <v>65</v>
      </c>
      <c r="Q35" s="16"/>
      <c r="R35" s="16"/>
      <c r="S35" s="16"/>
      <c r="T35" s="15">
        <f t="shared" si="7"/>
        <v>0</v>
      </c>
      <c r="U35" s="14">
        <f>T35*40</f>
        <v>0</v>
      </c>
      <c r="V35" s="16">
        <v>6</v>
      </c>
      <c r="W35" s="16"/>
      <c r="X35" s="16">
        <v>40</v>
      </c>
      <c r="Y35" s="16"/>
      <c r="Z35" s="16"/>
      <c r="AA35" s="16"/>
      <c r="AB35" s="15">
        <f t="shared" si="8"/>
        <v>46</v>
      </c>
      <c r="AC35" s="14">
        <f>AB35*40</f>
        <v>1840</v>
      </c>
      <c r="AD35" s="16">
        <v>3</v>
      </c>
      <c r="AE35" s="16">
        <v>2</v>
      </c>
      <c r="AF35" s="16">
        <v>60</v>
      </c>
      <c r="AG35" s="16" t="s">
        <v>65</v>
      </c>
      <c r="AH35" s="16"/>
      <c r="AI35" s="15">
        <f t="shared" si="9"/>
        <v>65</v>
      </c>
      <c r="AJ35" s="14">
        <f>AI35*40</f>
        <v>2600</v>
      </c>
    </row>
    <row r="36" spans="2:40" x14ac:dyDescent="0.3">
      <c r="B36" s="42" t="s">
        <v>27</v>
      </c>
      <c r="C36" s="16"/>
      <c r="D36" s="15">
        <f t="shared" si="5"/>
        <v>0</v>
      </c>
      <c r="E36" s="14">
        <f>D36*76</f>
        <v>0</v>
      </c>
      <c r="F36" s="16"/>
      <c r="G36" s="16"/>
      <c r="H36" s="16"/>
      <c r="I36" s="16"/>
      <c r="J36" s="16"/>
      <c r="K36" s="16"/>
      <c r="L36" s="15">
        <f t="shared" si="6"/>
        <v>0</v>
      </c>
      <c r="M36" s="14">
        <f>L36*76</f>
        <v>0</v>
      </c>
      <c r="N36" s="16"/>
      <c r="O36" s="16"/>
      <c r="P36" s="16" t="s">
        <v>65</v>
      </c>
      <c r="Q36" s="16"/>
      <c r="R36" s="16"/>
      <c r="S36" s="16"/>
      <c r="T36" s="15">
        <f t="shared" si="7"/>
        <v>0</v>
      </c>
      <c r="U36" s="14">
        <f>T36*76</f>
        <v>0</v>
      </c>
      <c r="V36" s="16"/>
      <c r="W36" s="16">
        <v>50</v>
      </c>
      <c r="X36" s="16"/>
      <c r="Y36" s="16"/>
      <c r="Z36" s="16"/>
      <c r="AA36" s="16"/>
      <c r="AB36" s="15">
        <f t="shared" si="8"/>
        <v>50</v>
      </c>
      <c r="AC36" s="14">
        <f>AB36*76</f>
        <v>3800</v>
      </c>
      <c r="AD36" s="16"/>
      <c r="AE36" s="16"/>
      <c r="AF36" s="16"/>
      <c r="AG36" s="16" t="s">
        <v>65</v>
      </c>
      <c r="AH36" s="16"/>
      <c r="AI36" s="15">
        <f t="shared" si="9"/>
        <v>0</v>
      </c>
      <c r="AJ36" s="14">
        <f>AI36*76</f>
        <v>0</v>
      </c>
    </row>
    <row r="37" spans="2:40" x14ac:dyDescent="0.3">
      <c r="B37" s="42" t="s">
        <v>26</v>
      </c>
      <c r="C37" s="16"/>
      <c r="D37" s="15">
        <f t="shared" si="5"/>
        <v>0</v>
      </c>
      <c r="E37" s="14">
        <f>D37*90</f>
        <v>0</v>
      </c>
      <c r="F37" s="16"/>
      <c r="G37" s="16"/>
      <c r="H37" s="16"/>
      <c r="I37" s="16"/>
      <c r="J37" s="16"/>
      <c r="K37" s="16"/>
      <c r="L37" s="15">
        <f t="shared" si="6"/>
        <v>0</v>
      </c>
      <c r="M37" s="14">
        <f>L37*90</f>
        <v>0</v>
      </c>
      <c r="N37" s="16"/>
      <c r="O37" s="16"/>
      <c r="P37" s="16" t="s">
        <v>65</v>
      </c>
      <c r="Q37" s="16"/>
      <c r="R37" s="16"/>
      <c r="S37" s="16"/>
      <c r="T37" s="15">
        <f t="shared" si="7"/>
        <v>0</v>
      </c>
      <c r="U37" s="14">
        <f>T37*90</f>
        <v>0</v>
      </c>
      <c r="V37" s="16"/>
      <c r="W37" s="16"/>
      <c r="X37" s="16"/>
      <c r="Y37" s="16"/>
      <c r="Z37" s="16"/>
      <c r="AA37" s="16"/>
      <c r="AB37" s="15">
        <f t="shared" si="8"/>
        <v>0</v>
      </c>
      <c r="AC37" s="14">
        <f>AB37*90</f>
        <v>0</v>
      </c>
      <c r="AD37" s="16"/>
      <c r="AE37" s="16"/>
      <c r="AF37" s="16"/>
      <c r="AG37" s="16" t="s">
        <v>65</v>
      </c>
      <c r="AH37" s="16"/>
      <c r="AI37" s="15">
        <f t="shared" si="9"/>
        <v>0</v>
      </c>
      <c r="AJ37" s="14">
        <f>AI37*90</f>
        <v>0</v>
      </c>
    </row>
    <row r="38" spans="2:40" x14ac:dyDescent="0.3">
      <c r="B38" s="42" t="s">
        <v>25</v>
      </c>
      <c r="C38" s="16"/>
      <c r="D38" s="15">
        <f t="shared" si="5"/>
        <v>0</v>
      </c>
      <c r="E38" s="14">
        <f>D38*91</f>
        <v>0</v>
      </c>
      <c r="F38" s="16"/>
      <c r="G38" s="16"/>
      <c r="H38" s="16"/>
      <c r="I38" s="16"/>
      <c r="J38" s="16"/>
      <c r="K38" s="16"/>
      <c r="L38" s="15">
        <f t="shared" si="6"/>
        <v>0</v>
      </c>
      <c r="M38" s="14">
        <f>L38*91</f>
        <v>0</v>
      </c>
      <c r="N38" s="16"/>
      <c r="O38" s="16"/>
      <c r="P38" s="16" t="s">
        <v>65</v>
      </c>
      <c r="Q38" s="16"/>
      <c r="R38" s="16"/>
      <c r="S38" s="16"/>
      <c r="T38" s="15">
        <f t="shared" si="7"/>
        <v>0</v>
      </c>
      <c r="U38" s="14">
        <f>T38*91</f>
        <v>0</v>
      </c>
      <c r="V38" s="16"/>
      <c r="W38" s="16"/>
      <c r="X38" s="16"/>
      <c r="Y38" s="16"/>
      <c r="Z38" s="20"/>
      <c r="AA38" s="16"/>
      <c r="AB38" s="15">
        <f t="shared" si="8"/>
        <v>0</v>
      </c>
      <c r="AC38" s="14">
        <f>AB38*91</f>
        <v>0</v>
      </c>
      <c r="AD38" s="16"/>
      <c r="AE38" s="16"/>
      <c r="AF38" s="16"/>
      <c r="AG38" s="16" t="s">
        <v>65</v>
      </c>
      <c r="AH38" s="16"/>
      <c r="AI38" s="15">
        <f t="shared" si="9"/>
        <v>0</v>
      </c>
      <c r="AJ38" s="14">
        <f>AI38*91</f>
        <v>0</v>
      </c>
    </row>
    <row r="39" spans="2:40" x14ac:dyDescent="0.3">
      <c r="B39" s="42" t="s">
        <v>24</v>
      </c>
      <c r="C39" s="16"/>
      <c r="D39" s="15">
        <f t="shared" si="5"/>
        <v>0</v>
      </c>
      <c r="E39" s="14">
        <f>D39*90</f>
        <v>0</v>
      </c>
      <c r="F39" s="16"/>
      <c r="G39" s="16"/>
      <c r="H39" s="16"/>
      <c r="I39" s="16"/>
      <c r="J39" s="16"/>
      <c r="K39" s="16"/>
      <c r="L39" s="15">
        <f t="shared" si="6"/>
        <v>0</v>
      </c>
      <c r="M39" s="14">
        <f>L39*90</f>
        <v>0</v>
      </c>
      <c r="N39" s="16"/>
      <c r="O39" s="16"/>
      <c r="P39" s="16" t="s">
        <v>65</v>
      </c>
      <c r="Q39" s="16"/>
      <c r="R39" s="16"/>
      <c r="S39" s="16"/>
      <c r="T39" s="15">
        <f t="shared" si="7"/>
        <v>0</v>
      </c>
      <c r="U39" s="14">
        <f>T39*90</f>
        <v>0</v>
      </c>
      <c r="V39" s="16"/>
      <c r="W39" s="16"/>
      <c r="X39" s="16"/>
      <c r="Y39" s="16"/>
      <c r="Z39" s="16"/>
      <c r="AA39" s="16"/>
      <c r="AB39" s="15">
        <f t="shared" si="8"/>
        <v>0</v>
      </c>
      <c r="AC39" s="14">
        <f>AB39*90</f>
        <v>0</v>
      </c>
      <c r="AD39" s="16"/>
      <c r="AE39" s="16"/>
      <c r="AF39" s="16"/>
      <c r="AG39" s="16" t="s">
        <v>65</v>
      </c>
      <c r="AH39" s="16"/>
      <c r="AI39" s="15">
        <f t="shared" si="9"/>
        <v>0</v>
      </c>
      <c r="AJ39" s="14">
        <f>AI39*90</f>
        <v>0</v>
      </c>
    </row>
    <row r="40" spans="2:40" x14ac:dyDescent="0.3">
      <c r="B40" s="42" t="s">
        <v>23</v>
      </c>
      <c r="C40" s="16"/>
      <c r="D40" s="15">
        <f t="shared" si="5"/>
        <v>0</v>
      </c>
      <c r="E40" s="14">
        <f>D40*76</f>
        <v>0</v>
      </c>
      <c r="F40" s="16"/>
      <c r="G40" s="16"/>
      <c r="H40" s="16"/>
      <c r="I40" s="16"/>
      <c r="J40" s="16"/>
      <c r="K40" s="16"/>
      <c r="L40" s="15">
        <f t="shared" si="6"/>
        <v>0</v>
      </c>
      <c r="M40" s="14">
        <f>L40*76</f>
        <v>0</v>
      </c>
      <c r="N40" s="16"/>
      <c r="O40" s="16"/>
      <c r="P40" s="16" t="s">
        <v>65</v>
      </c>
      <c r="Q40" s="16"/>
      <c r="R40" s="16"/>
      <c r="S40" s="16"/>
      <c r="T40" s="15">
        <f t="shared" si="7"/>
        <v>0</v>
      </c>
      <c r="U40" s="14">
        <f>T40*76</f>
        <v>0</v>
      </c>
      <c r="V40" s="16"/>
      <c r="W40" s="16"/>
      <c r="X40" s="16"/>
      <c r="Y40" s="16"/>
      <c r="Z40" s="16"/>
      <c r="AA40" s="16"/>
      <c r="AB40" s="15">
        <f t="shared" si="8"/>
        <v>0</v>
      </c>
      <c r="AC40" s="14">
        <f>AB40*76</f>
        <v>0</v>
      </c>
      <c r="AD40" s="16"/>
      <c r="AE40" s="16"/>
      <c r="AF40" s="16"/>
      <c r="AG40" s="16" t="s">
        <v>65</v>
      </c>
      <c r="AH40" s="16"/>
      <c r="AI40" s="15">
        <f t="shared" si="9"/>
        <v>0</v>
      </c>
      <c r="AJ40" s="14">
        <f>AI40*76</f>
        <v>0</v>
      </c>
    </row>
    <row r="41" spans="2:40" x14ac:dyDescent="0.3">
      <c r="B41" s="42" t="s">
        <v>22</v>
      </c>
      <c r="C41" s="16"/>
      <c r="D41" s="15">
        <f t="shared" si="5"/>
        <v>0</v>
      </c>
      <c r="E41" s="14">
        <f>D41*100</f>
        <v>0</v>
      </c>
      <c r="F41" s="16"/>
      <c r="G41" s="16"/>
      <c r="H41" s="16"/>
      <c r="I41" s="16"/>
      <c r="J41" s="16"/>
      <c r="K41" s="16"/>
      <c r="L41" s="15">
        <f t="shared" si="6"/>
        <v>0</v>
      </c>
      <c r="M41" s="14">
        <f>L41*100</f>
        <v>0</v>
      </c>
      <c r="N41" s="16"/>
      <c r="O41" s="16"/>
      <c r="P41" s="16" t="s">
        <v>65</v>
      </c>
      <c r="Q41" s="16"/>
      <c r="R41" s="16"/>
      <c r="S41" s="16"/>
      <c r="T41" s="15">
        <f t="shared" si="7"/>
        <v>0</v>
      </c>
      <c r="U41" s="14">
        <f>T41*100</f>
        <v>0</v>
      </c>
      <c r="V41" s="16"/>
      <c r="W41" s="16">
        <v>10</v>
      </c>
      <c r="X41" s="16"/>
      <c r="Y41" s="16"/>
      <c r="Z41" s="16"/>
      <c r="AA41" s="16"/>
      <c r="AB41" s="15">
        <f t="shared" si="8"/>
        <v>10</v>
      </c>
      <c r="AC41" s="14">
        <f>AB41*100</f>
        <v>1000</v>
      </c>
      <c r="AD41" s="16"/>
      <c r="AE41" s="16"/>
      <c r="AF41" s="16"/>
      <c r="AG41" s="16" t="s">
        <v>65</v>
      </c>
      <c r="AH41" s="16"/>
      <c r="AI41" s="15">
        <f t="shared" si="9"/>
        <v>0</v>
      </c>
      <c r="AJ41" s="14">
        <f>AI41*100</f>
        <v>0</v>
      </c>
    </row>
    <row r="42" spans="2:40" x14ac:dyDescent="0.3">
      <c r="B42" s="42" t="s">
        <v>21</v>
      </c>
      <c r="C42" s="16"/>
      <c r="D42" s="15">
        <f t="shared" si="5"/>
        <v>0</v>
      </c>
      <c r="E42" s="14">
        <f>D42*100</f>
        <v>0</v>
      </c>
      <c r="F42" s="16"/>
      <c r="G42" s="16"/>
      <c r="H42" s="16"/>
      <c r="I42" s="16"/>
      <c r="J42" s="16"/>
      <c r="K42" s="16"/>
      <c r="L42" s="15">
        <f t="shared" si="6"/>
        <v>0</v>
      </c>
      <c r="M42" s="14">
        <f>L42*100</f>
        <v>0</v>
      </c>
      <c r="N42" s="16"/>
      <c r="O42" s="16"/>
      <c r="P42" s="16" t="s">
        <v>65</v>
      </c>
      <c r="Q42" s="16"/>
      <c r="R42" s="16"/>
      <c r="S42" s="16"/>
      <c r="T42" s="15">
        <f t="shared" si="7"/>
        <v>0</v>
      </c>
      <c r="U42" s="14">
        <f>T42*100</f>
        <v>0</v>
      </c>
      <c r="V42" s="16"/>
      <c r="W42" s="16">
        <v>10</v>
      </c>
      <c r="X42" s="16"/>
      <c r="Y42" s="16"/>
      <c r="Z42" s="16"/>
      <c r="AA42" s="16"/>
      <c r="AB42" s="15">
        <f t="shared" si="8"/>
        <v>10</v>
      </c>
      <c r="AC42" s="14">
        <f>AB42*100</f>
        <v>1000</v>
      </c>
      <c r="AD42" s="16"/>
      <c r="AE42" s="16"/>
      <c r="AF42" s="16"/>
      <c r="AG42" s="16" t="s">
        <v>65</v>
      </c>
      <c r="AH42" s="16"/>
      <c r="AI42" s="15">
        <f t="shared" si="9"/>
        <v>0</v>
      </c>
      <c r="AJ42" s="14">
        <f>AI42*100</f>
        <v>0</v>
      </c>
    </row>
    <row r="43" spans="2:40" x14ac:dyDescent="0.3">
      <c r="B43" s="42" t="s">
        <v>20</v>
      </c>
      <c r="C43" s="16"/>
      <c r="D43" s="15">
        <f t="shared" si="5"/>
        <v>0</v>
      </c>
      <c r="E43" s="14">
        <f>D43*78</f>
        <v>0</v>
      </c>
      <c r="F43" s="16"/>
      <c r="G43" s="16"/>
      <c r="H43" s="16"/>
      <c r="I43" s="16"/>
      <c r="J43" s="16"/>
      <c r="K43" s="16"/>
      <c r="L43" s="15">
        <f t="shared" si="6"/>
        <v>0</v>
      </c>
      <c r="M43" s="14">
        <f>L43*78</f>
        <v>0</v>
      </c>
      <c r="N43" s="16"/>
      <c r="O43" s="16"/>
      <c r="P43" s="16" t="s">
        <v>65</v>
      </c>
      <c r="Q43" s="16"/>
      <c r="R43" s="16"/>
      <c r="S43" s="16"/>
      <c r="T43" s="15">
        <f t="shared" si="7"/>
        <v>0</v>
      </c>
      <c r="U43" s="14">
        <f>T43*78</f>
        <v>0</v>
      </c>
      <c r="V43" s="16"/>
      <c r="W43" s="16"/>
      <c r="X43" s="16"/>
      <c r="Y43" s="16"/>
      <c r="Z43" s="16"/>
      <c r="AA43" s="16"/>
      <c r="AB43" s="15">
        <f t="shared" si="8"/>
        <v>0</v>
      </c>
      <c r="AC43" s="14">
        <f>AB43*78</f>
        <v>0</v>
      </c>
      <c r="AD43" s="16"/>
      <c r="AE43" s="16"/>
      <c r="AF43" s="16"/>
      <c r="AG43" s="16" t="s">
        <v>65</v>
      </c>
      <c r="AH43" s="16"/>
      <c r="AI43" s="15">
        <f t="shared" si="9"/>
        <v>0</v>
      </c>
      <c r="AJ43" s="14">
        <f>AI43*78</f>
        <v>0</v>
      </c>
    </row>
    <row r="44" spans="2:40" ht="15.6" x14ac:dyDescent="0.3">
      <c r="B44" s="17" t="s">
        <v>19</v>
      </c>
      <c r="C44" s="16"/>
      <c r="D44" s="15">
        <f t="shared" si="5"/>
        <v>0</v>
      </c>
      <c r="E44" s="14">
        <f>D44*104</f>
        <v>0</v>
      </c>
      <c r="F44" s="16"/>
      <c r="G44" s="16">
        <v>80</v>
      </c>
      <c r="H44" s="16"/>
      <c r="I44" s="16">
        <v>14</v>
      </c>
      <c r="J44" s="16"/>
      <c r="K44" s="16"/>
      <c r="L44" s="15">
        <f t="shared" si="6"/>
        <v>94</v>
      </c>
      <c r="M44" s="14">
        <f>L44*104</f>
        <v>9776</v>
      </c>
      <c r="N44" s="16">
        <v>80</v>
      </c>
      <c r="O44" s="16">
        <v>23</v>
      </c>
      <c r="P44" s="16" t="s">
        <v>65</v>
      </c>
      <c r="Q44" s="16"/>
      <c r="R44" s="16">
        <v>60</v>
      </c>
      <c r="S44" s="16" t="s">
        <v>65</v>
      </c>
      <c r="T44" s="15">
        <f t="shared" si="7"/>
        <v>163</v>
      </c>
      <c r="U44" s="14">
        <f>T44*104</f>
        <v>16952</v>
      </c>
      <c r="V44" s="16"/>
      <c r="W44" s="16"/>
      <c r="X44" s="16">
        <v>53</v>
      </c>
      <c r="Y44" s="16"/>
      <c r="Z44" s="16"/>
      <c r="AA44" s="16"/>
      <c r="AB44" s="15">
        <f>SUM(V44:AA44)</f>
        <v>53</v>
      </c>
      <c r="AC44" s="14">
        <f>AB44*104</f>
        <v>5512</v>
      </c>
      <c r="AD44" s="16">
        <v>4</v>
      </c>
      <c r="AE44" s="16">
        <v>20</v>
      </c>
      <c r="AF44" s="16"/>
      <c r="AG44" s="16">
        <v>60</v>
      </c>
      <c r="AH44" s="16"/>
      <c r="AI44" s="15">
        <f>SUM(AD44:AH44)</f>
        <v>84</v>
      </c>
      <c r="AJ44" s="14">
        <f>AI44*104</f>
        <v>8736</v>
      </c>
      <c r="AL44" s="41"/>
      <c r="AM44" s="40"/>
    </row>
    <row r="45" spans="2:40" x14ac:dyDescent="0.3">
      <c r="B45" s="17" t="s">
        <v>18</v>
      </c>
      <c r="C45" s="16"/>
      <c r="D45" s="15">
        <f t="shared" si="5"/>
        <v>0</v>
      </c>
      <c r="E45" s="14">
        <f>D45*106</f>
        <v>0</v>
      </c>
      <c r="F45" s="16"/>
      <c r="G45" s="16"/>
      <c r="H45" s="16"/>
      <c r="I45" s="16"/>
      <c r="J45" s="16"/>
      <c r="K45" s="16"/>
      <c r="L45" s="15">
        <f t="shared" si="6"/>
        <v>0</v>
      </c>
      <c r="M45" s="14">
        <f>L45*106</f>
        <v>0</v>
      </c>
      <c r="N45" s="16"/>
      <c r="O45" s="16"/>
      <c r="P45" s="16" t="s">
        <v>65</v>
      </c>
      <c r="Q45" s="16"/>
      <c r="R45" s="16" t="s">
        <v>65</v>
      </c>
      <c r="S45" s="16">
        <v>35</v>
      </c>
      <c r="T45" s="15">
        <f t="shared" si="7"/>
        <v>35</v>
      </c>
      <c r="U45" s="14">
        <f>T45*106</f>
        <v>3710</v>
      </c>
      <c r="V45" s="16">
        <v>55</v>
      </c>
      <c r="W45" s="16"/>
      <c r="X45" s="16">
        <v>26</v>
      </c>
      <c r="Y45" s="16"/>
      <c r="Z45" s="16"/>
      <c r="AA45" s="16"/>
      <c r="AB45" s="15">
        <f>SUM(V45:AA45)</f>
        <v>81</v>
      </c>
      <c r="AC45" s="14">
        <f>AB45*106</f>
        <v>8586</v>
      </c>
      <c r="AD45" s="16"/>
      <c r="AE45" s="16"/>
      <c r="AF45" s="16"/>
      <c r="AG45" s="16"/>
      <c r="AH45" s="16"/>
      <c r="AI45" s="15">
        <f>SUM(AD45:AH45)</f>
        <v>0</v>
      </c>
      <c r="AJ45" s="14">
        <f>AI45*106</f>
        <v>0</v>
      </c>
    </row>
    <row r="46" spans="2:40" x14ac:dyDescent="0.3">
      <c r="B46" s="17" t="s">
        <v>17</v>
      </c>
      <c r="C46" s="16"/>
      <c r="D46" s="15">
        <f t="shared" si="5"/>
        <v>0</v>
      </c>
      <c r="E46" s="14">
        <f>D46*104</f>
        <v>0</v>
      </c>
      <c r="F46" s="16"/>
      <c r="G46" s="16">
        <v>4</v>
      </c>
      <c r="H46" s="16">
        <v>15</v>
      </c>
      <c r="I46" s="16"/>
      <c r="J46" s="16"/>
      <c r="K46" s="16"/>
      <c r="L46" s="15">
        <f t="shared" si="6"/>
        <v>19</v>
      </c>
      <c r="M46" s="14">
        <f>L46*104</f>
        <v>1976</v>
      </c>
      <c r="N46" s="16">
        <v>2</v>
      </c>
      <c r="O46" s="16"/>
      <c r="P46" s="16">
        <v>50</v>
      </c>
      <c r="Q46" s="16">
        <v>10</v>
      </c>
      <c r="R46" s="16" t="s">
        <v>65</v>
      </c>
      <c r="S46" s="16">
        <v>6</v>
      </c>
      <c r="T46" s="15">
        <f t="shared" si="7"/>
        <v>68</v>
      </c>
      <c r="U46" s="14">
        <f>T46*104</f>
        <v>7072</v>
      </c>
      <c r="V46" s="16">
        <v>2</v>
      </c>
      <c r="W46" s="16">
        <v>20</v>
      </c>
      <c r="X46" s="16"/>
      <c r="Y46" s="16"/>
      <c r="Z46" s="16"/>
      <c r="AA46" s="16"/>
      <c r="AB46" s="15">
        <f>SUM(V46:AA46)</f>
        <v>22</v>
      </c>
      <c r="AC46" s="14">
        <f>AB46*104</f>
        <v>2288</v>
      </c>
      <c r="AD46" s="16">
        <v>10</v>
      </c>
      <c r="AE46" s="16">
        <v>4</v>
      </c>
      <c r="AF46" s="16"/>
      <c r="AG46" s="16"/>
      <c r="AH46" s="16">
        <v>20</v>
      </c>
      <c r="AI46" s="15">
        <f>SUM(AD46:AH46)</f>
        <v>34</v>
      </c>
      <c r="AJ46" s="14">
        <f>AI46*104</f>
        <v>3536</v>
      </c>
    </row>
    <row r="47" spans="2:40" x14ac:dyDescent="0.3">
      <c r="B47" s="17" t="s">
        <v>14</v>
      </c>
      <c r="C47" s="16"/>
      <c r="D47" s="15">
        <f t="shared" si="5"/>
        <v>0</v>
      </c>
      <c r="E47" s="14">
        <f>D47*58</f>
        <v>0</v>
      </c>
      <c r="F47" s="16"/>
      <c r="G47" s="16">
        <v>11</v>
      </c>
      <c r="H47" s="16">
        <v>17</v>
      </c>
      <c r="I47" s="16">
        <v>61</v>
      </c>
      <c r="J47" s="16">
        <v>12</v>
      </c>
      <c r="K47" s="16">
        <v>22</v>
      </c>
      <c r="L47" s="15">
        <f t="shared" si="6"/>
        <v>123</v>
      </c>
      <c r="M47" s="14">
        <f>L47*58</f>
        <v>7134</v>
      </c>
      <c r="N47" s="16">
        <v>8</v>
      </c>
      <c r="O47" s="16">
        <v>26</v>
      </c>
      <c r="P47" s="16">
        <v>4</v>
      </c>
      <c r="Q47" s="16">
        <v>35</v>
      </c>
      <c r="R47" s="16">
        <v>50</v>
      </c>
      <c r="S47" s="16">
        <v>25</v>
      </c>
      <c r="T47" s="15">
        <f t="shared" si="7"/>
        <v>148</v>
      </c>
      <c r="U47" s="14">
        <f>T47*58</f>
        <v>8584</v>
      </c>
      <c r="V47" s="16">
        <v>25</v>
      </c>
      <c r="W47" s="16"/>
      <c r="X47" s="16">
        <v>55</v>
      </c>
      <c r="Y47" s="16">
        <v>6</v>
      </c>
      <c r="Z47" s="16"/>
      <c r="AA47" s="16"/>
      <c r="AB47" s="15">
        <f>SUM(V47:AA47)</f>
        <v>86</v>
      </c>
      <c r="AC47" s="14">
        <f>AB47*58</f>
        <v>4988</v>
      </c>
      <c r="AD47" s="16">
        <v>21</v>
      </c>
      <c r="AE47" s="16">
        <v>24</v>
      </c>
      <c r="AF47" s="16">
        <v>20</v>
      </c>
      <c r="AG47" s="16"/>
      <c r="AH47" s="16">
        <v>5</v>
      </c>
      <c r="AI47" s="15">
        <f>SUM(AD47:AH47)</f>
        <v>70</v>
      </c>
      <c r="AJ47" s="14">
        <f>AI47*58</f>
        <v>4060</v>
      </c>
    </row>
    <row r="48" spans="2:40" ht="15.6" x14ac:dyDescent="0.3">
      <c r="C48" s="10"/>
      <c r="D48" s="39">
        <f>SUM(D20:D43)</f>
        <v>20</v>
      </c>
      <c r="E48" s="38">
        <f>SUM(E20:E43)</f>
        <v>800</v>
      </c>
      <c r="F48" s="10"/>
      <c r="G48" s="10"/>
      <c r="H48" s="10"/>
      <c r="I48" s="10"/>
      <c r="J48" s="10"/>
      <c r="K48" s="10"/>
      <c r="L48" s="39">
        <f>SUM(L20:L43)</f>
        <v>144</v>
      </c>
      <c r="M48" s="38">
        <f>SUM(M20:M43)</f>
        <v>9439</v>
      </c>
      <c r="N48" s="10"/>
      <c r="O48" s="10"/>
      <c r="P48" s="10"/>
      <c r="Q48" s="10"/>
      <c r="R48" s="10"/>
      <c r="S48" s="10"/>
      <c r="T48" s="39">
        <f>SUM(T20:T43)</f>
        <v>189</v>
      </c>
      <c r="U48" s="38">
        <f>SUM(U20:U43)</f>
        <v>15731</v>
      </c>
      <c r="V48" s="10"/>
      <c r="W48" s="10"/>
      <c r="X48" s="10"/>
      <c r="Y48" s="10"/>
      <c r="Z48" s="10"/>
      <c r="AA48" s="10"/>
      <c r="AB48" s="39">
        <f>SUM(AB20:AB43)</f>
        <v>344</v>
      </c>
      <c r="AC48" s="38">
        <f>SUM(AC20:AC43)</f>
        <v>26540</v>
      </c>
      <c r="AD48" s="10"/>
      <c r="AE48" s="10"/>
      <c r="AF48" s="10"/>
      <c r="AG48" s="10"/>
      <c r="AH48" s="10"/>
      <c r="AI48" s="39">
        <f>SUM(AI20:AI43)</f>
        <v>204</v>
      </c>
      <c r="AJ48" s="38">
        <f>SUM(AJ20:AJ43)</f>
        <v>14057</v>
      </c>
      <c r="AL48" s="35" t="s">
        <v>15</v>
      </c>
      <c r="AM48" s="37">
        <f>D51+L51+T51+AB51+AI51</f>
        <v>653</v>
      </c>
      <c r="AN48" s="30">
        <f>AM49/AM48</f>
        <v>104.35528330781011</v>
      </c>
    </row>
    <row r="49" spans="2:40" ht="15.6" x14ac:dyDescent="0.3">
      <c r="C49" s="32"/>
      <c r="D49" s="36"/>
      <c r="E49" s="11"/>
      <c r="F49" s="32"/>
      <c r="G49" s="32"/>
      <c r="H49" s="32"/>
      <c r="I49" s="32"/>
      <c r="J49" s="32"/>
      <c r="K49" s="32"/>
      <c r="L49" s="36"/>
      <c r="M49" s="11"/>
      <c r="N49" s="32"/>
      <c r="O49" s="32"/>
      <c r="P49" s="32"/>
      <c r="Q49" s="32"/>
      <c r="R49" s="32"/>
      <c r="S49" s="32"/>
      <c r="T49" s="36"/>
      <c r="U49" s="11"/>
      <c r="V49" s="32"/>
      <c r="W49" s="32"/>
      <c r="X49" s="32"/>
      <c r="Y49" s="32"/>
      <c r="Z49" s="32"/>
      <c r="AA49" s="32"/>
      <c r="AB49" s="36"/>
      <c r="AC49" s="11"/>
      <c r="AD49" s="32"/>
      <c r="AE49" s="32"/>
      <c r="AF49" s="32"/>
      <c r="AG49" s="32"/>
      <c r="AH49" s="32"/>
      <c r="AI49" s="36"/>
      <c r="AJ49" s="11"/>
      <c r="AL49" s="35" t="s">
        <v>3</v>
      </c>
      <c r="AM49" s="34">
        <f>E51+M51+AC51+U51+AJ51</f>
        <v>68144</v>
      </c>
    </row>
    <row r="50" spans="2:40" ht="15.6" x14ac:dyDescent="0.3">
      <c r="B50" s="29" t="s">
        <v>13</v>
      </c>
      <c r="C50" s="32"/>
      <c r="D50" s="4">
        <f>D48+D19</f>
        <v>73</v>
      </c>
      <c r="E50" s="28">
        <f>E48+E19</f>
        <v>4851</v>
      </c>
      <c r="F50" s="32"/>
      <c r="G50" s="32"/>
      <c r="H50" s="32"/>
      <c r="I50" s="32"/>
      <c r="J50" s="32"/>
      <c r="K50" s="5" t="s">
        <v>16</v>
      </c>
      <c r="L50" s="4">
        <f>L48+L19</f>
        <v>1069</v>
      </c>
      <c r="M50" s="28">
        <f>M48+M19</f>
        <v>84657</v>
      </c>
      <c r="N50" s="32"/>
      <c r="O50" s="32"/>
      <c r="P50" s="32"/>
      <c r="Q50" s="32"/>
      <c r="R50" s="32"/>
      <c r="S50" s="32"/>
      <c r="T50" s="4">
        <f>T48+T19</f>
        <v>1508</v>
      </c>
      <c r="U50" s="28">
        <f>U48+U19</f>
        <v>106519</v>
      </c>
      <c r="V50" s="32"/>
      <c r="W50" s="32"/>
      <c r="X50" s="32"/>
      <c r="Y50" s="32"/>
      <c r="Z50" s="32"/>
      <c r="AA50" s="32"/>
      <c r="AB50" s="4">
        <f>AB48+AB19</f>
        <v>1397</v>
      </c>
      <c r="AC50" s="28">
        <f>AC48+AC19</f>
        <v>102864</v>
      </c>
      <c r="AD50" s="32"/>
      <c r="AE50" s="32"/>
      <c r="AF50" s="32"/>
      <c r="AG50" s="32"/>
      <c r="AH50" s="32"/>
      <c r="AI50" s="4">
        <f>AI48+AI19</f>
        <v>835</v>
      </c>
      <c r="AJ50" s="28">
        <f>AJ48+AJ19</f>
        <v>58345</v>
      </c>
    </row>
    <row r="51" spans="2:40" ht="15.6" x14ac:dyDescent="0.3">
      <c r="B51" s="29" t="s">
        <v>15</v>
      </c>
      <c r="C51" s="32"/>
      <c r="D51" s="4">
        <f>SUM(D44:D46)</f>
        <v>0</v>
      </c>
      <c r="E51" s="28">
        <f>SUM(E44:E46)</f>
        <v>0</v>
      </c>
      <c r="F51" s="32"/>
      <c r="G51" s="32"/>
      <c r="H51" s="32"/>
      <c r="I51" s="32"/>
      <c r="J51" s="32"/>
      <c r="K51" s="33"/>
      <c r="L51" s="4">
        <f>SUM(L44:L46)</f>
        <v>113</v>
      </c>
      <c r="M51" s="28">
        <f>SUM(M44:M46)</f>
        <v>11752</v>
      </c>
      <c r="N51" s="32"/>
      <c r="O51" s="32"/>
      <c r="P51" s="32"/>
      <c r="Q51" s="32"/>
      <c r="R51" s="32"/>
      <c r="S51" s="32"/>
      <c r="T51" s="4">
        <f>SUM(T44:T46)</f>
        <v>266</v>
      </c>
      <c r="U51" s="28">
        <f>SUM(U44:U46)</f>
        <v>27734</v>
      </c>
      <c r="V51" s="32"/>
      <c r="W51" s="32"/>
      <c r="X51" s="32"/>
      <c r="Y51" s="32"/>
      <c r="Z51" s="32"/>
      <c r="AA51" s="32"/>
      <c r="AB51" s="4">
        <f>SUM(AB44:AB46)</f>
        <v>156</v>
      </c>
      <c r="AC51" s="28">
        <f>SUM(AC44:AC46)</f>
        <v>16386</v>
      </c>
      <c r="AD51" s="32"/>
      <c r="AE51" s="32"/>
      <c r="AF51" s="32"/>
      <c r="AG51" s="32"/>
      <c r="AH51" s="32"/>
      <c r="AI51" s="4">
        <f>SUM(AI44:AI46)</f>
        <v>118</v>
      </c>
      <c r="AJ51" s="28">
        <f>SUM(AJ44:AJ46)</f>
        <v>12272</v>
      </c>
      <c r="AL51" s="27" t="s">
        <v>14</v>
      </c>
      <c r="AM51" s="31">
        <f>D52+L52+AB52+T52+AI52</f>
        <v>427</v>
      </c>
      <c r="AN51" s="30">
        <f>AM52/AM51</f>
        <v>58</v>
      </c>
    </row>
    <row r="52" spans="2:40" ht="15.6" x14ac:dyDescent="0.3">
      <c r="B52" s="29" t="s">
        <v>14</v>
      </c>
      <c r="D52" s="4">
        <f>D47</f>
        <v>0</v>
      </c>
      <c r="E52" s="28">
        <f>E47</f>
        <v>0</v>
      </c>
      <c r="L52" s="4">
        <f>L47</f>
        <v>123</v>
      </c>
      <c r="M52" s="28">
        <f>M47</f>
        <v>7134</v>
      </c>
      <c r="T52" s="4">
        <f>T47</f>
        <v>148</v>
      </c>
      <c r="U52" s="28">
        <f>U47</f>
        <v>8584</v>
      </c>
      <c r="AB52" s="4">
        <f>AB47</f>
        <v>86</v>
      </c>
      <c r="AC52" s="28">
        <f>AC47</f>
        <v>4988</v>
      </c>
      <c r="AI52" s="4">
        <f>AI47</f>
        <v>70</v>
      </c>
      <c r="AJ52" s="28">
        <f>AJ47</f>
        <v>4060</v>
      </c>
      <c r="AL52" s="27" t="s">
        <v>3</v>
      </c>
      <c r="AM52" s="26">
        <f>E52+AC52+U52+M52+AJ52</f>
        <v>24766</v>
      </c>
    </row>
    <row r="55" spans="2:40" s="22" customFormat="1" ht="13.8" customHeight="1" x14ac:dyDescent="0.3">
      <c r="B55" s="25" t="s">
        <v>13</v>
      </c>
      <c r="C55" s="24">
        <v>45659</v>
      </c>
      <c r="D55" s="23" t="s">
        <v>12</v>
      </c>
      <c r="E55" s="23" t="s">
        <v>11</v>
      </c>
      <c r="F55" s="24">
        <v>45663</v>
      </c>
      <c r="G55" s="24">
        <v>45664</v>
      </c>
      <c r="H55" s="24">
        <v>45665</v>
      </c>
      <c r="I55" s="24">
        <v>45666</v>
      </c>
      <c r="J55" s="24">
        <v>45667</v>
      </c>
      <c r="K55" s="24">
        <v>45668</v>
      </c>
      <c r="L55" s="23" t="s">
        <v>12</v>
      </c>
      <c r="M55" s="23" t="s">
        <v>11</v>
      </c>
      <c r="N55" s="24">
        <v>45670</v>
      </c>
      <c r="O55" s="24">
        <v>45671</v>
      </c>
      <c r="P55" s="24">
        <v>45672</v>
      </c>
      <c r="Q55" s="24">
        <v>45673</v>
      </c>
      <c r="R55" s="24">
        <v>45674</v>
      </c>
      <c r="S55" s="24">
        <v>45703</v>
      </c>
      <c r="T55" s="23" t="s">
        <v>12</v>
      </c>
      <c r="U55" s="23" t="s">
        <v>11</v>
      </c>
      <c r="V55" s="24">
        <v>45705</v>
      </c>
      <c r="W55" s="24">
        <v>45706</v>
      </c>
      <c r="X55" s="24">
        <v>45707</v>
      </c>
      <c r="Y55" s="24">
        <v>45708</v>
      </c>
      <c r="Z55" s="24">
        <v>45709</v>
      </c>
      <c r="AA55" s="24">
        <v>45710</v>
      </c>
      <c r="AB55" s="23" t="s">
        <v>12</v>
      </c>
      <c r="AC55" s="23" t="s">
        <v>11</v>
      </c>
      <c r="AD55" s="24">
        <v>45712</v>
      </c>
      <c r="AE55" s="24">
        <v>45713</v>
      </c>
      <c r="AF55" s="24">
        <v>45714</v>
      </c>
      <c r="AG55" s="24">
        <v>45715</v>
      </c>
      <c r="AH55" s="24">
        <v>45716</v>
      </c>
      <c r="AI55" s="23" t="s">
        <v>12</v>
      </c>
      <c r="AJ55" s="23" t="s">
        <v>11</v>
      </c>
    </row>
    <row r="56" spans="2:40" ht="15" customHeight="1" x14ac:dyDescent="0.3">
      <c r="B56" s="17" t="s">
        <v>10</v>
      </c>
      <c r="C56" s="16">
        <v>193</v>
      </c>
      <c r="D56" s="15">
        <f t="shared" ref="D56:D61" si="10">SUM(C56:C56)</f>
        <v>193</v>
      </c>
      <c r="E56" s="14">
        <f>D56*106</f>
        <v>20458</v>
      </c>
      <c r="F56" s="16">
        <v>43</v>
      </c>
      <c r="G56" s="16">
        <v>165</v>
      </c>
      <c r="H56" s="16">
        <v>85</v>
      </c>
      <c r="I56" s="16">
        <v>200</v>
      </c>
      <c r="J56" s="16">
        <v>70</v>
      </c>
      <c r="K56" s="16">
        <v>30</v>
      </c>
      <c r="L56" s="15">
        <f t="shared" ref="L56:L61" si="11">SUM(F56:K56)</f>
        <v>593</v>
      </c>
      <c r="M56" s="14">
        <f>L56*103</f>
        <v>61079</v>
      </c>
      <c r="N56" s="16">
        <v>173</v>
      </c>
      <c r="O56" s="16">
        <v>161</v>
      </c>
      <c r="P56" s="16">
        <v>160</v>
      </c>
      <c r="Q56" s="16">
        <v>85</v>
      </c>
      <c r="R56" s="16">
        <v>153</v>
      </c>
      <c r="S56" s="16">
        <v>117</v>
      </c>
      <c r="T56" s="15">
        <f t="shared" ref="T56:T61" si="12">SUM(N56:S56)</f>
        <v>849</v>
      </c>
      <c r="U56" s="14">
        <f>T56*103</f>
        <v>87447</v>
      </c>
      <c r="V56" s="16">
        <v>272</v>
      </c>
      <c r="W56" s="16">
        <v>161</v>
      </c>
      <c r="X56" s="16">
        <v>290</v>
      </c>
      <c r="Y56" s="16">
        <v>201</v>
      </c>
      <c r="Z56" s="16">
        <v>40</v>
      </c>
      <c r="AA56" s="16">
        <v>60</v>
      </c>
      <c r="AB56" s="15">
        <f t="shared" ref="AB56:AB61" si="13">SUM(V56:AA56)</f>
        <v>1024</v>
      </c>
      <c r="AC56" s="14">
        <f>AB56*102</f>
        <v>104448</v>
      </c>
      <c r="AD56" s="16">
        <v>229</v>
      </c>
      <c r="AE56" s="16">
        <v>112</v>
      </c>
      <c r="AF56" s="16">
        <v>116</v>
      </c>
      <c r="AG56" s="16">
        <v>145</v>
      </c>
      <c r="AH56" s="16">
        <v>40</v>
      </c>
      <c r="AI56" s="15">
        <f t="shared" ref="AI56:AI61" si="14">SUM(AD56:AH56)</f>
        <v>642</v>
      </c>
      <c r="AJ56" s="14">
        <f>AI56*101</f>
        <v>64842</v>
      </c>
    </row>
    <row r="57" spans="2:40" x14ac:dyDescent="0.3">
      <c r="B57" s="17" t="s">
        <v>9</v>
      </c>
      <c r="C57" s="16">
        <v>170</v>
      </c>
      <c r="D57" s="15">
        <f t="shared" si="10"/>
        <v>170</v>
      </c>
      <c r="E57" s="14">
        <f>D57*104</f>
        <v>17680</v>
      </c>
      <c r="F57" s="16">
        <v>43</v>
      </c>
      <c r="G57" s="16">
        <v>131</v>
      </c>
      <c r="H57" s="16">
        <v>70</v>
      </c>
      <c r="I57" s="16">
        <v>408</v>
      </c>
      <c r="J57" s="16">
        <v>40</v>
      </c>
      <c r="K57" s="16">
        <v>20</v>
      </c>
      <c r="L57" s="15">
        <f t="shared" si="11"/>
        <v>712</v>
      </c>
      <c r="M57" s="14">
        <f>L57*101</f>
        <v>71912</v>
      </c>
      <c r="N57" s="16">
        <v>175</v>
      </c>
      <c r="O57" s="16">
        <v>92</v>
      </c>
      <c r="P57" s="16">
        <v>160</v>
      </c>
      <c r="Q57" s="16">
        <v>60</v>
      </c>
      <c r="R57" s="16">
        <v>123</v>
      </c>
      <c r="S57" s="16">
        <v>116</v>
      </c>
      <c r="T57" s="15">
        <f t="shared" si="12"/>
        <v>726</v>
      </c>
      <c r="U57" s="14">
        <f>T57*101</f>
        <v>73326</v>
      </c>
      <c r="V57" s="16">
        <v>294</v>
      </c>
      <c r="W57" s="16">
        <v>241</v>
      </c>
      <c r="X57" s="16">
        <v>220</v>
      </c>
      <c r="Y57" s="16">
        <v>152</v>
      </c>
      <c r="Z57" s="16">
        <v>20</v>
      </c>
      <c r="AA57" s="16">
        <v>30</v>
      </c>
      <c r="AB57" s="15">
        <f t="shared" si="13"/>
        <v>957</v>
      </c>
      <c r="AC57" s="14">
        <f>AB57*100</f>
        <v>95700</v>
      </c>
      <c r="AD57" s="16">
        <v>194</v>
      </c>
      <c r="AE57" s="16">
        <v>146</v>
      </c>
      <c r="AF57" s="16">
        <v>90</v>
      </c>
      <c r="AG57" s="16">
        <v>110</v>
      </c>
      <c r="AH57" s="16">
        <v>30</v>
      </c>
      <c r="AI57" s="15">
        <f t="shared" si="14"/>
        <v>570</v>
      </c>
      <c r="AJ57" s="14">
        <f>AI57*99</f>
        <v>56430</v>
      </c>
    </row>
    <row r="58" spans="2:40" ht="15.6" x14ac:dyDescent="0.3">
      <c r="B58" s="17" t="s">
        <v>8</v>
      </c>
      <c r="C58" s="16">
        <v>55</v>
      </c>
      <c r="D58" s="15">
        <f t="shared" si="10"/>
        <v>55</v>
      </c>
      <c r="E58" s="14">
        <f>D58*106</f>
        <v>5830</v>
      </c>
      <c r="F58" s="16">
        <v>10</v>
      </c>
      <c r="G58" s="16">
        <v>58</v>
      </c>
      <c r="H58" s="16">
        <v>27</v>
      </c>
      <c r="I58" s="16">
        <v>33</v>
      </c>
      <c r="J58" s="16">
        <v>20</v>
      </c>
      <c r="K58" s="16">
        <v>10</v>
      </c>
      <c r="L58" s="15">
        <f t="shared" si="11"/>
        <v>158</v>
      </c>
      <c r="M58" s="14">
        <f>L58*103</f>
        <v>16274</v>
      </c>
      <c r="N58" s="16">
        <v>34</v>
      </c>
      <c r="O58" s="16">
        <v>77</v>
      </c>
      <c r="P58" s="16">
        <v>85</v>
      </c>
      <c r="Q58" s="16">
        <v>15</v>
      </c>
      <c r="R58" s="16">
        <v>48</v>
      </c>
      <c r="S58" s="16">
        <v>35</v>
      </c>
      <c r="T58" s="15">
        <f t="shared" si="12"/>
        <v>294</v>
      </c>
      <c r="U58" s="14">
        <f>T58*103</f>
        <v>30282</v>
      </c>
      <c r="V58" s="16">
        <v>55</v>
      </c>
      <c r="W58" s="16">
        <v>30</v>
      </c>
      <c r="X58" s="16">
        <v>50</v>
      </c>
      <c r="Y58" s="16">
        <v>65</v>
      </c>
      <c r="Z58" s="16">
        <v>12</v>
      </c>
      <c r="AA58" s="16"/>
      <c r="AB58" s="15">
        <f t="shared" si="13"/>
        <v>212</v>
      </c>
      <c r="AC58" s="14">
        <f>AB58*102</f>
        <v>21624</v>
      </c>
      <c r="AD58" s="16">
        <v>39</v>
      </c>
      <c r="AE58" s="16">
        <v>37</v>
      </c>
      <c r="AF58" s="16">
        <v>30</v>
      </c>
      <c r="AG58" s="16">
        <v>40</v>
      </c>
      <c r="AH58" s="16">
        <v>5</v>
      </c>
      <c r="AI58" s="15">
        <f t="shared" si="14"/>
        <v>151</v>
      </c>
      <c r="AJ58" s="14">
        <f>AI58*101</f>
        <v>15251</v>
      </c>
      <c r="AL58" s="19" t="s">
        <v>7</v>
      </c>
      <c r="AM58" s="21">
        <f>D64+L64+T64+AB64+AI64</f>
        <v>7369</v>
      </c>
      <c r="AN58" s="11">
        <f>AM59/AM58</f>
        <v>101.50427466413353</v>
      </c>
    </row>
    <row r="59" spans="2:40" ht="15.6" x14ac:dyDescent="0.3">
      <c r="B59" s="17" t="s">
        <v>6</v>
      </c>
      <c r="C59" s="16"/>
      <c r="D59" s="15">
        <f t="shared" si="10"/>
        <v>0</v>
      </c>
      <c r="E59" s="14">
        <f>D59*88</f>
        <v>0</v>
      </c>
      <c r="F59" s="16"/>
      <c r="G59" s="16"/>
      <c r="H59" s="16">
        <v>5</v>
      </c>
      <c r="I59" s="16">
        <v>1</v>
      </c>
      <c r="J59" s="16"/>
      <c r="K59" s="16">
        <v>30</v>
      </c>
      <c r="L59" s="15">
        <f t="shared" si="11"/>
        <v>36</v>
      </c>
      <c r="M59" s="14">
        <f>L59*86</f>
        <v>3096</v>
      </c>
      <c r="N59" s="16">
        <v>1</v>
      </c>
      <c r="O59" s="16">
        <v>5</v>
      </c>
      <c r="P59" s="16">
        <v>2</v>
      </c>
      <c r="Q59" s="16" t="s">
        <v>65</v>
      </c>
      <c r="R59" s="16"/>
      <c r="S59" s="16">
        <v>7</v>
      </c>
      <c r="T59" s="15">
        <f t="shared" si="12"/>
        <v>15</v>
      </c>
      <c r="U59" s="14">
        <f>T59*86</f>
        <v>1290</v>
      </c>
      <c r="V59" s="16">
        <v>3</v>
      </c>
      <c r="W59" s="16"/>
      <c r="X59" s="16" t="s">
        <v>65</v>
      </c>
      <c r="Y59" s="16">
        <v>5</v>
      </c>
      <c r="Z59" s="16"/>
      <c r="AA59" s="16"/>
      <c r="AB59" s="15">
        <f t="shared" si="13"/>
        <v>8</v>
      </c>
      <c r="AC59" s="14">
        <f>AB59*85</f>
        <v>680</v>
      </c>
      <c r="AD59" s="16">
        <v>3</v>
      </c>
      <c r="AE59" s="16">
        <v>1</v>
      </c>
      <c r="AF59" s="16"/>
      <c r="AG59" s="16" t="s">
        <v>65</v>
      </c>
      <c r="AH59" s="16"/>
      <c r="AI59" s="15">
        <f t="shared" si="14"/>
        <v>4</v>
      </c>
      <c r="AJ59" s="14">
        <f>AI59*84</f>
        <v>336</v>
      </c>
      <c r="AL59" s="19" t="s">
        <v>3</v>
      </c>
      <c r="AM59" s="18">
        <f>E64+M64+U64+AC64+AJ64</f>
        <v>747985</v>
      </c>
    </row>
    <row r="60" spans="2:40" x14ac:dyDescent="0.3">
      <c r="B60" s="17" t="s">
        <v>4</v>
      </c>
      <c r="C60" s="16"/>
      <c r="D60" s="15">
        <f t="shared" si="10"/>
        <v>0</v>
      </c>
      <c r="E60" s="14">
        <f>D60*100</f>
        <v>0</v>
      </c>
      <c r="F60" s="16">
        <v>20</v>
      </c>
      <c r="G60" s="16">
        <v>98</v>
      </c>
      <c r="H60" s="16">
        <v>30</v>
      </c>
      <c r="I60" s="16">
        <v>23</v>
      </c>
      <c r="J60" s="16">
        <v>148</v>
      </c>
      <c r="K60" s="16"/>
      <c r="L60" s="15">
        <f t="shared" si="11"/>
        <v>319</v>
      </c>
      <c r="M60" s="14">
        <f>L60*100</f>
        <v>31900</v>
      </c>
      <c r="N60" s="16">
        <v>43</v>
      </c>
      <c r="O60" s="16">
        <v>33</v>
      </c>
      <c r="P60" s="16">
        <v>23</v>
      </c>
      <c r="Q60" s="16">
        <v>225</v>
      </c>
      <c r="R60" s="16">
        <v>180</v>
      </c>
      <c r="S60" s="16">
        <v>14</v>
      </c>
      <c r="T60" s="15">
        <f t="shared" si="12"/>
        <v>518</v>
      </c>
      <c r="U60" s="14">
        <f>T60*100</f>
        <v>51800</v>
      </c>
      <c r="V60" s="16">
        <v>45</v>
      </c>
      <c r="W60" s="16">
        <v>70</v>
      </c>
      <c r="X60" s="16">
        <v>40</v>
      </c>
      <c r="Y60" s="16">
        <v>6</v>
      </c>
      <c r="Z60" s="16">
        <v>100</v>
      </c>
      <c r="AA60" s="16"/>
      <c r="AB60" s="15">
        <f t="shared" si="13"/>
        <v>261</v>
      </c>
      <c r="AC60" s="14">
        <f>AB60*100</f>
        <v>26100</v>
      </c>
      <c r="AD60" s="16">
        <v>28</v>
      </c>
      <c r="AE60" s="16">
        <v>56</v>
      </c>
      <c r="AF60" s="16">
        <v>45</v>
      </c>
      <c r="AG60" s="16" t="s">
        <v>65</v>
      </c>
      <c r="AH60" s="16"/>
      <c r="AI60" s="15">
        <f t="shared" si="14"/>
        <v>129</v>
      </c>
      <c r="AJ60" s="14">
        <f>AI60*100</f>
        <v>12900</v>
      </c>
    </row>
    <row r="61" spans="2:40" ht="15.6" x14ac:dyDescent="0.3">
      <c r="B61" s="17" t="s">
        <v>5</v>
      </c>
      <c r="C61" s="16"/>
      <c r="D61" s="15">
        <f t="shared" si="10"/>
        <v>0</v>
      </c>
      <c r="E61" s="14">
        <f>D61*100</f>
        <v>0</v>
      </c>
      <c r="F61" s="16">
        <v>4</v>
      </c>
      <c r="G61" s="16"/>
      <c r="H61" s="16"/>
      <c r="I61" s="16"/>
      <c r="J61" s="16"/>
      <c r="K61" s="16"/>
      <c r="L61" s="15">
        <f t="shared" si="11"/>
        <v>4</v>
      </c>
      <c r="M61" s="14">
        <f>L61*115</f>
        <v>460</v>
      </c>
      <c r="N61" s="16"/>
      <c r="O61" s="16"/>
      <c r="P61" s="16"/>
      <c r="Q61" s="16"/>
      <c r="R61" s="16"/>
      <c r="S61" s="16">
        <v>40</v>
      </c>
      <c r="T61" s="15">
        <f t="shared" si="12"/>
        <v>40</v>
      </c>
      <c r="U61" s="14">
        <f>T61*108</f>
        <v>4320</v>
      </c>
      <c r="V61" s="16">
        <v>1</v>
      </c>
      <c r="W61" s="16"/>
      <c r="X61" s="16"/>
      <c r="Y61" s="16"/>
      <c r="Z61" s="16"/>
      <c r="AA61" s="16"/>
      <c r="AB61" s="15">
        <f t="shared" si="13"/>
        <v>1</v>
      </c>
      <c r="AC61" s="14">
        <f>AB61*115</f>
        <v>115</v>
      </c>
      <c r="AD61" s="16"/>
      <c r="AE61" s="16"/>
      <c r="AF61" s="16"/>
      <c r="AG61" s="16" t="s">
        <v>65</v>
      </c>
      <c r="AH61" s="16"/>
      <c r="AI61" s="15">
        <f t="shared" si="14"/>
        <v>0</v>
      </c>
      <c r="AJ61" s="14">
        <f>AI61*115</f>
        <v>0</v>
      </c>
      <c r="AL61" s="13" t="s">
        <v>4</v>
      </c>
      <c r="AM61" s="12">
        <f>D60+L60+T60+AB60+AI60</f>
        <v>1227</v>
      </c>
      <c r="AN61" s="11">
        <f>AM62/AM61</f>
        <v>100</v>
      </c>
    </row>
    <row r="62" spans="2:40" ht="15.6" x14ac:dyDescent="0.3">
      <c r="C62" s="10"/>
      <c r="D62" s="9">
        <f>SUM(D56:D61)</f>
        <v>418</v>
      </c>
      <c r="E62" s="8">
        <f>SUM(E56:E61)</f>
        <v>43968</v>
      </c>
      <c r="F62" s="10"/>
      <c r="G62" s="10"/>
      <c r="H62" s="10"/>
      <c r="I62" s="10"/>
      <c r="J62" s="10"/>
      <c r="K62" s="10"/>
      <c r="L62" s="9">
        <f>SUM(L56:L61)</f>
        <v>1822</v>
      </c>
      <c r="M62" s="8">
        <f>SUM(M56:M61)</f>
        <v>184721</v>
      </c>
      <c r="N62" s="10"/>
      <c r="O62" s="10"/>
      <c r="P62" s="10"/>
      <c r="Q62" s="10"/>
      <c r="R62" s="10"/>
      <c r="S62" s="10"/>
      <c r="T62" s="9">
        <f>SUM(T56:T61)</f>
        <v>2442</v>
      </c>
      <c r="U62" s="8">
        <f>SUM(U56:U61)</f>
        <v>248465</v>
      </c>
      <c r="V62" s="10"/>
      <c r="W62" s="10"/>
      <c r="X62" s="10"/>
      <c r="Y62" s="10"/>
      <c r="Z62" s="10"/>
      <c r="AA62" s="10"/>
      <c r="AB62" s="9">
        <f>SUM(AB56:AB61)</f>
        <v>2463</v>
      </c>
      <c r="AC62" s="8">
        <f>SUM(AC56:AC61)</f>
        <v>248667</v>
      </c>
      <c r="AD62" s="10"/>
      <c r="AE62" s="10"/>
      <c r="AF62" s="10"/>
      <c r="AG62" s="10"/>
      <c r="AH62" s="10"/>
      <c r="AI62" s="9">
        <f>SUM(AI56:AI61)</f>
        <v>1496</v>
      </c>
      <c r="AJ62" s="8">
        <f>SUM(AJ56:AJ61)</f>
        <v>149759</v>
      </c>
      <c r="AL62" s="7" t="s">
        <v>3</v>
      </c>
      <c r="AM62" s="6">
        <f>E60+M60+U60+AC60+AJ60</f>
        <v>122700</v>
      </c>
    </row>
    <row r="64" spans="2:40" ht="15.6" x14ac:dyDescent="0.3">
      <c r="D64" s="4">
        <f>D56+D57+D58+D59</f>
        <v>418</v>
      </c>
      <c r="E64" s="3">
        <f>E56+E57+E58+E59</f>
        <v>43968</v>
      </c>
      <c r="K64" s="5" t="s">
        <v>2</v>
      </c>
      <c r="L64" s="4">
        <f>L56+L57+L58+L59</f>
        <v>1499</v>
      </c>
      <c r="M64" s="3">
        <f>M56+M57+M58+M59</f>
        <v>152361</v>
      </c>
      <c r="T64" s="4">
        <f>T56+T57+T58+T59</f>
        <v>1884</v>
      </c>
      <c r="U64" s="3">
        <f>U56+U57+U58+U59</f>
        <v>192345</v>
      </c>
      <c r="AB64" s="4">
        <f>AB56+AB57+AB58+AB59</f>
        <v>2201</v>
      </c>
      <c r="AC64" s="3">
        <f>AC56+AC57+AC58+AC59</f>
        <v>222452</v>
      </c>
      <c r="AI64" s="4">
        <f>AI56+AI57+AI58+AI59</f>
        <v>1367</v>
      </c>
      <c r="AJ64" s="3">
        <f>AJ56+AJ57+AJ58+AJ59</f>
        <v>136859</v>
      </c>
    </row>
    <row r="66" spans="38:39" x14ac:dyDescent="0.3">
      <c r="AL66" s="2" t="s">
        <v>1</v>
      </c>
      <c r="AM66" s="1">
        <f>AM62+AM59+AM20</f>
        <v>1227921</v>
      </c>
    </row>
    <row r="1964" spans="13:13" x14ac:dyDescent="0.3">
      <c r="M1964" t="s">
        <v>0</v>
      </c>
    </row>
  </sheetData>
  <mergeCells count="2">
    <mergeCell ref="AQ3:AR3"/>
    <mergeCell ref="AL24:AM24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76D8-87B6-4402-B729-602BE18D9109}">
  <dimension ref="B3:AT1964"/>
  <sheetViews>
    <sheetView zoomScale="90" zoomScaleNormal="90" workbookViewId="0">
      <pane xSplit="2" ySplit="3" topLeftCell="AF46" activePane="bottomRight" state="frozen"/>
      <selection pane="topRight" activeCell="C1" sqref="C1"/>
      <selection pane="bottomLeft" activeCell="A4" sqref="A4"/>
      <selection pane="bottomRight" activeCell="J15" sqref="J15"/>
    </sheetView>
  </sheetViews>
  <sheetFormatPr baseColWidth="10" defaultRowHeight="14.4" x14ac:dyDescent="0.3"/>
  <cols>
    <col min="1" max="1" width="5.6640625" customWidth="1"/>
    <col min="2" max="2" width="18.33203125" customWidth="1"/>
    <col min="3" max="3" width="13.88671875" customWidth="1"/>
    <col min="4" max="4" width="13.33203125" customWidth="1"/>
    <col min="5" max="5" width="17.109375" customWidth="1"/>
    <col min="11" max="11" width="13.21875" customWidth="1"/>
    <col min="12" max="12" width="13.33203125" customWidth="1"/>
    <col min="13" max="13" width="16" customWidth="1"/>
    <col min="20" max="20" width="13.33203125" customWidth="1"/>
    <col min="21" max="21" width="16.109375" customWidth="1"/>
    <col min="28" max="28" width="13.33203125" customWidth="1"/>
    <col min="29" max="29" width="16.109375" customWidth="1"/>
    <col min="37" max="37" width="13.33203125" customWidth="1"/>
    <col min="38" max="38" width="16.109375" customWidth="1"/>
    <col min="39" max="39" width="6.5546875" customWidth="1"/>
    <col min="40" max="40" width="15.33203125" customWidth="1"/>
    <col min="41" max="41" width="16.5546875" customWidth="1"/>
    <col min="42" max="42" width="13.88671875" customWidth="1"/>
    <col min="44" max="44" width="9.77734375" customWidth="1"/>
    <col min="45" max="45" width="17.109375" customWidth="1"/>
    <col min="46" max="46" width="16.77734375" customWidth="1"/>
  </cols>
  <sheetData>
    <row r="3" spans="2:46" s="22" customFormat="1" ht="13.8" customHeight="1" x14ac:dyDescent="0.3">
      <c r="B3" s="25" t="s">
        <v>13</v>
      </c>
      <c r="C3" s="24">
        <v>45717</v>
      </c>
      <c r="D3" s="23" t="s">
        <v>63</v>
      </c>
      <c r="E3" s="23" t="s">
        <v>11</v>
      </c>
      <c r="F3" s="24">
        <v>45719</v>
      </c>
      <c r="G3" s="24">
        <v>45720</v>
      </c>
      <c r="H3" s="24">
        <v>45721</v>
      </c>
      <c r="I3" s="24">
        <v>45722</v>
      </c>
      <c r="J3" s="24">
        <v>45723</v>
      </c>
      <c r="K3" s="24">
        <v>45724</v>
      </c>
      <c r="L3" s="23" t="s">
        <v>63</v>
      </c>
      <c r="M3" s="23" t="s">
        <v>11</v>
      </c>
      <c r="N3" s="24">
        <v>45726</v>
      </c>
      <c r="O3" s="24">
        <v>45727</v>
      </c>
      <c r="P3" s="24">
        <v>45728</v>
      </c>
      <c r="Q3" s="24">
        <v>45729</v>
      </c>
      <c r="R3" s="24">
        <v>45730</v>
      </c>
      <c r="S3" s="24">
        <v>45731</v>
      </c>
      <c r="T3" s="23" t="s">
        <v>63</v>
      </c>
      <c r="U3" s="23" t="s">
        <v>11</v>
      </c>
      <c r="V3" s="24">
        <v>45733</v>
      </c>
      <c r="W3" s="24">
        <v>45734</v>
      </c>
      <c r="X3" s="24">
        <v>45735</v>
      </c>
      <c r="Y3" s="24">
        <v>45736</v>
      </c>
      <c r="Z3" s="24">
        <v>45737</v>
      </c>
      <c r="AA3" s="24">
        <v>45738</v>
      </c>
      <c r="AB3" s="23" t="s">
        <v>63</v>
      </c>
      <c r="AC3" s="23" t="s">
        <v>11</v>
      </c>
      <c r="AD3" s="24">
        <v>45740</v>
      </c>
      <c r="AE3" s="24">
        <v>45741</v>
      </c>
      <c r="AF3" s="24">
        <v>45742</v>
      </c>
      <c r="AG3" s="24">
        <v>45743</v>
      </c>
      <c r="AH3" s="24">
        <v>45744</v>
      </c>
      <c r="AI3" s="24">
        <v>45745</v>
      </c>
      <c r="AJ3" s="24">
        <v>45747</v>
      </c>
      <c r="AK3" s="23" t="s">
        <v>63</v>
      </c>
      <c r="AL3" s="23" t="s">
        <v>11</v>
      </c>
      <c r="AS3" s="68" t="s">
        <v>68</v>
      </c>
      <c r="AT3" s="69"/>
    </row>
    <row r="4" spans="2:46" ht="15.6" customHeight="1" x14ac:dyDescent="0.3">
      <c r="B4" s="17" t="s">
        <v>62</v>
      </c>
      <c r="C4" s="16" t="s">
        <v>65</v>
      </c>
      <c r="D4" s="15">
        <f>SUM(C4:C4)</f>
        <v>0</v>
      </c>
      <c r="E4" s="14">
        <f>D4*60</f>
        <v>0</v>
      </c>
      <c r="F4" s="61">
        <v>3</v>
      </c>
      <c r="G4" s="16">
        <v>22</v>
      </c>
      <c r="H4" s="16">
        <v>60</v>
      </c>
      <c r="I4" s="16">
        <v>79</v>
      </c>
      <c r="J4" s="16">
        <v>83</v>
      </c>
      <c r="K4" s="16">
        <v>15</v>
      </c>
      <c r="L4" s="15">
        <f>SUM(F4:K4)</f>
        <v>262</v>
      </c>
      <c r="M4" s="14">
        <f>L4*60</f>
        <v>15720</v>
      </c>
      <c r="N4" s="16">
        <v>68</v>
      </c>
      <c r="O4" s="16">
        <v>15</v>
      </c>
      <c r="P4" s="16">
        <v>35</v>
      </c>
      <c r="Q4" s="16">
        <v>10</v>
      </c>
      <c r="R4" s="16">
        <v>10</v>
      </c>
      <c r="S4" s="16">
        <v>67</v>
      </c>
      <c r="T4" s="15">
        <f>SUM(N4:S4)</f>
        <v>205</v>
      </c>
      <c r="U4" s="14">
        <f>T4*60</f>
        <v>12300</v>
      </c>
      <c r="V4" s="16" t="s">
        <v>65</v>
      </c>
      <c r="W4" s="16">
        <v>26</v>
      </c>
      <c r="X4" s="16">
        <v>47</v>
      </c>
      <c r="Y4" s="16">
        <v>42</v>
      </c>
      <c r="Z4" s="16">
        <v>45</v>
      </c>
      <c r="AA4" s="16">
        <v>5</v>
      </c>
      <c r="AB4" s="15">
        <f>SUM(V4:AA4)</f>
        <v>165</v>
      </c>
      <c r="AC4" s="14">
        <f>AB4*60</f>
        <v>9900</v>
      </c>
      <c r="AD4" s="16">
        <v>20</v>
      </c>
      <c r="AE4" s="16">
        <v>78</v>
      </c>
      <c r="AF4" s="16">
        <v>50</v>
      </c>
      <c r="AG4" s="16">
        <v>3</v>
      </c>
      <c r="AH4" s="16">
        <v>42</v>
      </c>
      <c r="AI4" s="16">
        <v>55</v>
      </c>
      <c r="AJ4" s="16">
        <v>25</v>
      </c>
      <c r="AK4" s="15">
        <f>SUM(AD4:AJ4)</f>
        <v>273</v>
      </c>
      <c r="AL4" s="14">
        <f>AK4*60</f>
        <v>16380</v>
      </c>
      <c r="AS4" s="60" t="s">
        <v>48</v>
      </c>
      <c r="AT4" s="48">
        <f>AO19</f>
        <v>6162</v>
      </c>
    </row>
    <row r="5" spans="2:46" ht="15.6" x14ac:dyDescent="0.3">
      <c r="B5" s="17" t="s">
        <v>61</v>
      </c>
      <c r="C5" s="16">
        <v>16</v>
      </c>
      <c r="D5" s="15">
        <f t="shared" ref="D5:D18" si="0">SUM(C5:C5)</f>
        <v>16</v>
      </c>
      <c r="E5" s="14">
        <f>D5*60</f>
        <v>960</v>
      </c>
      <c r="F5" s="61">
        <v>14</v>
      </c>
      <c r="G5" s="16">
        <v>16</v>
      </c>
      <c r="H5" s="16">
        <v>55</v>
      </c>
      <c r="I5" s="16">
        <v>49</v>
      </c>
      <c r="J5" s="16">
        <v>90</v>
      </c>
      <c r="K5" s="16">
        <v>15</v>
      </c>
      <c r="L5" s="15">
        <f t="shared" ref="L5:L18" si="1">SUM(F5:K5)</f>
        <v>239</v>
      </c>
      <c r="M5" s="14">
        <f>L5*60</f>
        <v>14340</v>
      </c>
      <c r="N5" s="16">
        <v>33</v>
      </c>
      <c r="O5" s="16">
        <v>15</v>
      </c>
      <c r="P5" s="16">
        <v>25</v>
      </c>
      <c r="Q5" s="16">
        <v>35</v>
      </c>
      <c r="R5" s="16">
        <v>5</v>
      </c>
      <c r="S5" s="16">
        <v>41</v>
      </c>
      <c r="T5" s="15">
        <f t="shared" ref="T5:T18" si="2">SUM(N5:S5)</f>
        <v>154</v>
      </c>
      <c r="U5" s="14">
        <f>T5*60</f>
        <v>9240</v>
      </c>
      <c r="V5" s="16">
        <v>10</v>
      </c>
      <c r="W5" s="16">
        <v>30</v>
      </c>
      <c r="X5" s="16">
        <v>45</v>
      </c>
      <c r="Y5" s="16">
        <v>22</v>
      </c>
      <c r="Z5" s="16">
        <v>52</v>
      </c>
      <c r="AA5" s="16">
        <v>5</v>
      </c>
      <c r="AB5" s="15">
        <f t="shared" ref="AB5:AB18" si="3">SUM(V5:AA5)</f>
        <v>164</v>
      </c>
      <c r="AC5" s="14">
        <f>AB5*60</f>
        <v>9840</v>
      </c>
      <c r="AD5" s="16">
        <v>37</v>
      </c>
      <c r="AE5" s="16">
        <v>78</v>
      </c>
      <c r="AF5" s="16">
        <v>45</v>
      </c>
      <c r="AG5" s="16"/>
      <c r="AH5" s="16">
        <v>12</v>
      </c>
      <c r="AI5" s="16">
        <v>55</v>
      </c>
      <c r="AJ5" s="16">
        <v>25</v>
      </c>
      <c r="AK5" s="15">
        <f t="shared" ref="AK5:AK18" si="4">SUM(AD5:AJ5)</f>
        <v>252</v>
      </c>
      <c r="AL5" s="14">
        <f>AK5*60</f>
        <v>15120</v>
      </c>
      <c r="AS5" s="60" t="s">
        <v>3</v>
      </c>
      <c r="AT5" s="46">
        <f>AO20</f>
        <v>453703</v>
      </c>
    </row>
    <row r="6" spans="2:46" ht="15.6" x14ac:dyDescent="0.3">
      <c r="B6" s="17" t="s">
        <v>60</v>
      </c>
      <c r="C6" s="16">
        <v>5</v>
      </c>
      <c r="D6" s="15">
        <f t="shared" si="0"/>
        <v>5</v>
      </c>
      <c r="E6" s="14">
        <f>D6*61</f>
        <v>305</v>
      </c>
      <c r="F6" s="61" t="s">
        <v>65</v>
      </c>
      <c r="G6" s="16">
        <v>20</v>
      </c>
      <c r="H6" s="16">
        <v>12</v>
      </c>
      <c r="I6" s="16">
        <v>46</v>
      </c>
      <c r="J6" s="16">
        <v>17</v>
      </c>
      <c r="K6" s="16">
        <v>12</v>
      </c>
      <c r="L6" s="15">
        <f t="shared" si="1"/>
        <v>107</v>
      </c>
      <c r="M6" s="14">
        <f>L6*61</f>
        <v>6527</v>
      </c>
      <c r="N6" s="16">
        <v>8</v>
      </c>
      <c r="O6" s="16">
        <v>4</v>
      </c>
      <c r="P6" s="16">
        <v>6</v>
      </c>
      <c r="Q6" s="16">
        <v>1</v>
      </c>
      <c r="R6" s="16" t="s">
        <v>65</v>
      </c>
      <c r="S6" s="16">
        <v>1</v>
      </c>
      <c r="T6" s="15">
        <f t="shared" si="2"/>
        <v>20</v>
      </c>
      <c r="U6" s="14">
        <f>T6*61</f>
        <v>1220</v>
      </c>
      <c r="V6" s="16">
        <v>16</v>
      </c>
      <c r="W6" s="16">
        <v>7</v>
      </c>
      <c r="X6" s="16">
        <v>14</v>
      </c>
      <c r="Y6" s="16">
        <v>9</v>
      </c>
      <c r="Z6" s="16">
        <v>6</v>
      </c>
      <c r="AA6" s="16" t="s">
        <v>65</v>
      </c>
      <c r="AB6" s="15">
        <f t="shared" si="3"/>
        <v>52</v>
      </c>
      <c r="AC6" s="14">
        <f>AB6*61</f>
        <v>3172</v>
      </c>
      <c r="AD6" s="16">
        <v>2</v>
      </c>
      <c r="AE6" s="16">
        <v>11</v>
      </c>
      <c r="AF6" s="16">
        <v>15</v>
      </c>
      <c r="AG6" s="16">
        <v>10</v>
      </c>
      <c r="AH6" s="16">
        <v>17</v>
      </c>
      <c r="AI6" s="16">
        <v>15</v>
      </c>
      <c r="AJ6" s="16">
        <v>8</v>
      </c>
      <c r="AK6" s="15">
        <f t="shared" si="4"/>
        <v>78</v>
      </c>
      <c r="AL6" s="14">
        <f>AK6*61</f>
        <v>4758</v>
      </c>
      <c r="AS6" s="59" t="s">
        <v>15</v>
      </c>
      <c r="AT6" s="37">
        <f>AO48</f>
        <v>821</v>
      </c>
    </row>
    <row r="7" spans="2:46" ht="15.6" x14ac:dyDescent="0.3">
      <c r="B7" s="17" t="s">
        <v>59</v>
      </c>
      <c r="C7" s="16">
        <v>9</v>
      </c>
      <c r="D7" s="15">
        <f t="shared" si="0"/>
        <v>9</v>
      </c>
      <c r="E7" s="14">
        <f>D7*60</f>
        <v>540</v>
      </c>
      <c r="F7" s="61" t="s">
        <v>66</v>
      </c>
      <c r="G7" s="16">
        <v>5</v>
      </c>
      <c r="H7" s="16" t="s">
        <v>65</v>
      </c>
      <c r="I7" s="16">
        <v>20</v>
      </c>
      <c r="J7" s="16">
        <v>20</v>
      </c>
      <c r="K7" s="16">
        <v>15</v>
      </c>
      <c r="L7" s="15">
        <f t="shared" si="1"/>
        <v>60</v>
      </c>
      <c r="M7" s="14">
        <f>L7*60</f>
        <v>3600</v>
      </c>
      <c r="N7" s="16">
        <v>47</v>
      </c>
      <c r="O7" s="16" t="s">
        <v>65</v>
      </c>
      <c r="P7" s="16" t="s">
        <v>65</v>
      </c>
      <c r="Q7" s="16">
        <v>9</v>
      </c>
      <c r="R7" s="16">
        <v>5</v>
      </c>
      <c r="S7" s="16">
        <v>29</v>
      </c>
      <c r="T7" s="15">
        <f t="shared" si="2"/>
        <v>90</v>
      </c>
      <c r="U7" s="14">
        <f>T7*60</f>
        <v>5400</v>
      </c>
      <c r="V7" s="16" t="s">
        <v>65</v>
      </c>
      <c r="W7" s="16">
        <v>9</v>
      </c>
      <c r="X7" s="16">
        <v>21</v>
      </c>
      <c r="Y7" s="16">
        <v>15</v>
      </c>
      <c r="Z7" s="16">
        <v>25</v>
      </c>
      <c r="AA7" s="16">
        <v>4</v>
      </c>
      <c r="AB7" s="15">
        <f t="shared" si="3"/>
        <v>74</v>
      </c>
      <c r="AC7" s="14">
        <f>AB7*60</f>
        <v>4440</v>
      </c>
      <c r="AD7" s="16" t="s">
        <v>65</v>
      </c>
      <c r="AE7" s="16">
        <v>6</v>
      </c>
      <c r="AF7" s="16" t="s">
        <v>65</v>
      </c>
      <c r="AG7" s="16"/>
      <c r="AH7" s="16">
        <v>16</v>
      </c>
      <c r="AI7" s="16" t="s">
        <v>65</v>
      </c>
      <c r="AJ7" s="16">
        <v>13</v>
      </c>
      <c r="AK7" s="15">
        <f t="shared" si="4"/>
        <v>35</v>
      </c>
      <c r="AL7" s="14">
        <f>AK7*60</f>
        <v>2100</v>
      </c>
      <c r="AS7" s="59" t="s">
        <v>3</v>
      </c>
      <c r="AT7" s="34">
        <f>AO49</f>
        <v>79700</v>
      </c>
    </row>
    <row r="8" spans="2:46" ht="15.6" x14ac:dyDescent="0.3">
      <c r="B8" s="17" t="s">
        <v>58</v>
      </c>
      <c r="C8" s="16"/>
      <c r="D8" s="15">
        <f t="shared" si="0"/>
        <v>0</v>
      </c>
      <c r="E8" s="14">
        <f>D8*60</f>
        <v>0</v>
      </c>
      <c r="F8" s="61">
        <v>2</v>
      </c>
      <c r="G8" s="16" t="s">
        <v>65</v>
      </c>
      <c r="H8" s="16" t="s">
        <v>65</v>
      </c>
      <c r="I8" s="16">
        <v>25</v>
      </c>
      <c r="J8" s="16">
        <v>20</v>
      </c>
      <c r="K8" s="16" t="s">
        <v>65</v>
      </c>
      <c r="L8" s="15">
        <f t="shared" si="1"/>
        <v>47</v>
      </c>
      <c r="M8" s="14">
        <f>L8*60</f>
        <v>2820</v>
      </c>
      <c r="N8" s="16">
        <v>38</v>
      </c>
      <c r="O8" s="16">
        <v>5</v>
      </c>
      <c r="P8" s="16" t="s">
        <v>65</v>
      </c>
      <c r="Q8" s="16">
        <v>15</v>
      </c>
      <c r="R8" s="16" t="s">
        <v>65</v>
      </c>
      <c r="S8" s="16" t="s">
        <v>65</v>
      </c>
      <c r="T8" s="15">
        <f t="shared" si="2"/>
        <v>58</v>
      </c>
      <c r="U8" s="14">
        <f>T8*60</f>
        <v>3480</v>
      </c>
      <c r="V8" s="16" t="s">
        <v>65</v>
      </c>
      <c r="W8" s="16">
        <v>17</v>
      </c>
      <c r="X8" s="16">
        <v>36</v>
      </c>
      <c r="Y8" s="16" t="s">
        <v>65</v>
      </c>
      <c r="Z8" s="16">
        <v>25</v>
      </c>
      <c r="AA8" s="16">
        <v>2</v>
      </c>
      <c r="AB8" s="15">
        <f t="shared" si="3"/>
        <v>80</v>
      </c>
      <c r="AC8" s="14">
        <f>AB8*60</f>
        <v>4800</v>
      </c>
      <c r="AD8" s="16" t="s">
        <v>65</v>
      </c>
      <c r="AE8" s="16">
        <v>29</v>
      </c>
      <c r="AF8" s="16" t="s">
        <v>65</v>
      </c>
      <c r="AG8" s="16">
        <v>5</v>
      </c>
      <c r="AH8" s="16">
        <v>12</v>
      </c>
      <c r="AI8" s="16" t="s">
        <v>65</v>
      </c>
      <c r="AJ8" s="16">
        <v>25</v>
      </c>
      <c r="AK8" s="15">
        <f t="shared" si="4"/>
        <v>71</v>
      </c>
      <c r="AL8" s="14">
        <f>AK8*60</f>
        <v>4260</v>
      </c>
      <c r="AS8" s="58" t="s">
        <v>14</v>
      </c>
      <c r="AT8" s="31">
        <f>AO51</f>
        <v>517</v>
      </c>
    </row>
    <row r="9" spans="2:46" ht="15.6" x14ac:dyDescent="0.3">
      <c r="B9" s="17" t="s">
        <v>57</v>
      </c>
      <c r="C9" s="20">
        <v>3</v>
      </c>
      <c r="D9" s="15">
        <f t="shared" si="0"/>
        <v>3</v>
      </c>
      <c r="E9" s="14">
        <f>D9*60</f>
        <v>180</v>
      </c>
      <c r="F9" s="61">
        <v>2</v>
      </c>
      <c r="G9" s="16">
        <v>11</v>
      </c>
      <c r="H9" s="16" t="s">
        <v>65</v>
      </c>
      <c r="I9" s="20">
        <v>20</v>
      </c>
      <c r="J9" s="16">
        <v>10</v>
      </c>
      <c r="K9" s="16">
        <v>8</v>
      </c>
      <c r="L9" s="15">
        <f t="shared" si="1"/>
        <v>51</v>
      </c>
      <c r="M9" s="14">
        <f>L9*60</f>
        <v>3060</v>
      </c>
      <c r="N9" s="16">
        <v>9</v>
      </c>
      <c r="O9" s="16">
        <v>6</v>
      </c>
      <c r="P9" s="16">
        <v>2</v>
      </c>
      <c r="Q9" s="16">
        <v>1</v>
      </c>
      <c r="R9" s="16" t="s">
        <v>65</v>
      </c>
      <c r="S9" s="16">
        <v>5</v>
      </c>
      <c r="T9" s="15">
        <f t="shared" si="2"/>
        <v>23</v>
      </c>
      <c r="U9" s="14">
        <f>T9*60</f>
        <v>1380</v>
      </c>
      <c r="V9" s="16" t="s">
        <v>65</v>
      </c>
      <c r="W9" s="16">
        <v>4</v>
      </c>
      <c r="X9" s="16" t="s">
        <v>65</v>
      </c>
      <c r="Y9" s="16">
        <v>16</v>
      </c>
      <c r="Z9" s="16">
        <v>20</v>
      </c>
      <c r="AA9" s="16" t="s">
        <v>65</v>
      </c>
      <c r="AB9" s="15">
        <f t="shared" si="3"/>
        <v>40</v>
      </c>
      <c r="AC9" s="14">
        <f>AB9*60</f>
        <v>2400</v>
      </c>
      <c r="AD9" s="16">
        <v>54</v>
      </c>
      <c r="AE9" s="16" t="s">
        <v>65</v>
      </c>
      <c r="AF9" s="16"/>
      <c r="AG9" s="16">
        <v>2</v>
      </c>
      <c r="AH9" s="16" t="s">
        <v>65</v>
      </c>
      <c r="AI9" s="16" t="s">
        <v>65</v>
      </c>
      <c r="AJ9" s="16">
        <v>24</v>
      </c>
      <c r="AK9" s="15">
        <f t="shared" si="4"/>
        <v>80</v>
      </c>
      <c r="AL9" s="14">
        <f>AK9*60</f>
        <v>4800</v>
      </c>
      <c r="AS9" s="58" t="s">
        <v>3</v>
      </c>
      <c r="AT9" s="26">
        <f>AO52</f>
        <v>23265</v>
      </c>
    </row>
    <row r="10" spans="2:46" ht="15.6" x14ac:dyDescent="0.3">
      <c r="B10" s="17" t="s">
        <v>56</v>
      </c>
      <c r="C10" s="16">
        <v>11</v>
      </c>
      <c r="D10" s="15">
        <f t="shared" si="0"/>
        <v>11</v>
      </c>
      <c r="E10" s="14">
        <f>D10*60</f>
        <v>660</v>
      </c>
      <c r="F10" s="61">
        <v>4</v>
      </c>
      <c r="G10" s="16" t="s">
        <v>65</v>
      </c>
      <c r="H10" s="16">
        <v>2</v>
      </c>
      <c r="I10" s="16">
        <v>15</v>
      </c>
      <c r="J10" s="16">
        <v>1</v>
      </c>
      <c r="K10" s="16">
        <v>20</v>
      </c>
      <c r="L10" s="15">
        <f t="shared" si="1"/>
        <v>42</v>
      </c>
      <c r="M10" s="14">
        <f>L10*60</f>
        <v>2520</v>
      </c>
      <c r="N10" s="16">
        <v>6</v>
      </c>
      <c r="O10" s="16">
        <v>1</v>
      </c>
      <c r="P10" s="16" t="s">
        <v>65</v>
      </c>
      <c r="Q10" s="16"/>
      <c r="R10" s="16" t="s">
        <v>65</v>
      </c>
      <c r="S10" s="16" t="s">
        <v>65</v>
      </c>
      <c r="T10" s="15">
        <f t="shared" si="2"/>
        <v>7</v>
      </c>
      <c r="U10" s="14">
        <f>T10*60</f>
        <v>420</v>
      </c>
      <c r="V10" s="16" t="s">
        <v>65</v>
      </c>
      <c r="W10" s="16">
        <v>5</v>
      </c>
      <c r="X10" s="16" t="s">
        <v>65</v>
      </c>
      <c r="Y10" s="16">
        <v>11</v>
      </c>
      <c r="Z10" s="16">
        <v>7</v>
      </c>
      <c r="AA10" s="16">
        <v>3</v>
      </c>
      <c r="AB10" s="15">
        <f t="shared" si="3"/>
        <v>26</v>
      </c>
      <c r="AC10" s="14">
        <f>AB10*60</f>
        <v>1560</v>
      </c>
      <c r="AD10" s="16">
        <v>10</v>
      </c>
      <c r="AE10" s="16">
        <v>22</v>
      </c>
      <c r="AF10" s="16"/>
      <c r="AG10" s="16">
        <v>5</v>
      </c>
      <c r="AH10" s="16" t="s">
        <v>65</v>
      </c>
      <c r="AI10" s="16" t="s">
        <v>65</v>
      </c>
      <c r="AJ10" s="16">
        <v>12</v>
      </c>
      <c r="AK10" s="15">
        <f t="shared" si="4"/>
        <v>49</v>
      </c>
      <c r="AL10" s="14">
        <f>AK10*60</f>
        <v>2940</v>
      </c>
      <c r="AS10" s="57" t="s">
        <v>7</v>
      </c>
      <c r="AT10" s="21">
        <f>AO58</f>
        <v>9328</v>
      </c>
    </row>
    <row r="11" spans="2:46" ht="15.6" x14ac:dyDescent="0.3">
      <c r="B11" s="17" t="s">
        <v>55</v>
      </c>
      <c r="C11" s="16">
        <v>1</v>
      </c>
      <c r="D11" s="15">
        <f t="shared" si="0"/>
        <v>1</v>
      </c>
      <c r="E11" s="14">
        <f>D11*65</f>
        <v>65</v>
      </c>
      <c r="F11" s="61" t="s">
        <v>65</v>
      </c>
      <c r="G11" s="16" t="s">
        <v>65</v>
      </c>
      <c r="H11" s="16" t="s">
        <v>65</v>
      </c>
      <c r="I11" s="16">
        <v>6</v>
      </c>
      <c r="J11" s="16" t="s">
        <v>65</v>
      </c>
      <c r="K11" s="16">
        <v>3</v>
      </c>
      <c r="L11" s="15">
        <f t="shared" si="1"/>
        <v>9</v>
      </c>
      <c r="M11" s="14">
        <f>L11*65</f>
        <v>585</v>
      </c>
      <c r="N11" s="16">
        <v>1</v>
      </c>
      <c r="O11" s="16" t="s">
        <v>65</v>
      </c>
      <c r="P11" s="16">
        <v>5</v>
      </c>
      <c r="Q11" s="16">
        <v>2</v>
      </c>
      <c r="R11" s="16" t="s">
        <v>65</v>
      </c>
      <c r="S11" s="16">
        <v>3</v>
      </c>
      <c r="T11" s="15">
        <f t="shared" si="2"/>
        <v>11</v>
      </c>
      <c r="U11" s="14">
        <f>T11*65</f>
        <v>715</v>
      </c>
      <c r="V11" s="16">
        <v>3</v>
      </c>
      <c r="W11" s="16">
        <v>2</v>
      </c>
      <c r="X11" s="16">
        <v>1</v>
      </c>
      <c r="Y11" s="16">
        <v>1</v>
      </c>
      <c r="Z11" s="16" t="s">
        <v>65</v>
      </c>
      <c r="AA11" s="16" t="s">
        <v>65</v>
      </c>
      <c r="AB11" s="15">
        <f t="shared" si="3"/>
        <v>7</v>
      </c>
      <c r="AC11" s="14">
        <f>AB11*65</f>
        <v>455</v>
      </c>
      <c r="AD11" s="16">
        <v>1</v>
      </c>
      <c r="AE11" s="16">
        <v>1</v>
      </c>
      <c r="AF11" s="16">
        <v>5</v>
      </c>
      <c r="AG11" s="16"/>
      <c r="AH11" s="16">
        <v>6</v>
      </c>
      <c r="AI11" s="16">
        <v>10</v>
      </c>
      <c r="AJ11" s="16" t="s">
        <v>65</v>
      </c>
      <c r="AK11" s="15">
        <f t="shared" si="4"/>
        <v>23</v>
      </c>
      <c r="AL11" s="14">
        <f>AK11*65</f>
        <v>1495</v>
      </c>
      <c r="AS11" s="57" t="s">
        <v>3</v>
      </c>
      <c r="AT11" s="18">
        <f>AO59</f>
        <v>898799</v>
      </c>
    </row>
    <row r="12" spans="2:46" ht="15.6" x14ac:dyDescent="0.3">
      <c r="B12" s="17" t="s">
        <v>54</v>
      </c>
      <c r="C12" s="16"/>
      <c r="D12" s="15">
        <f t="shared" si="0"/>
        <v>0</v>
      </c>
      <c r="E12" s="14">
        <f>D12*65</f>
        <v>0</v>
      </c>
      <c r="F12" s="61">
        <v>2</v>
      </c>
      <c r="G12" s="16" t="s">
        <v>65</v>
      </c>
      <c r="H12" s="16" t="s">
        <v>65</v>
      </c>
      <c r="I12" s="16">
        <v>6</v>
      </c>
      <c r="J12" s="16">
        <v>1</v>
      </c>
      <c r="K12" s="16" t="s">
        <v>65</v>
      </c>
      <c r="L12" s="15">
        <f t="shared" si="1"/>
        <v>9</v>
      </c>
      <c r="M12" s="14">
        <f>L12*65</f>
        <v>585</v>
      </c>
      <c r="N12" s="16" t="s">
        <v>65</v>
      </c>
      <c r="O12" s="16">
        <v>3</v>
      </c>
      <c r="P12" s="16">
        <v>15</v>
      </c>
      <c r="Q12" s="16">
        <v>2</v>
      </c>
      <c r="R12" s="16">
        <v>5</v>
      </c>
      <c r="S12" s="16">
        <v>1</v>
      </c>
      <c r="T12" s="15">
        <f t="shared" si="2"/>
        <v>26</v>
      </c>
      <c r="U12" s="14">
        <f>T12*65</f>
        <v>1690</v>
      </c>
      <c r="V12" s="16">
        <v>1</v>
      </c>
      <c r="W12" s="16">
        <v>2</v>
      </c>
      <c r="X12" s="16">
        <v>4</v>
      </c>
      <c r="Y12" s="16" t="s">
        <v>65</v>
      </c>
      <c r="Z12" s="16" t="s">
        <v>65</v>
      </c>
      <c r="AA12" s="16" t="s">
        <v>65</v>
      </c>
      <c r="AB12" s="15">
        <f t="shared" si="3"/>
        <v>7</v>
      </c>
      <c r="AC12" s="14">
        <f>AB12*65</f>
        <v>455</v>
      </c>
      <c r="AD12" s="16" t="s">
        <v>65</v>
      </c>
      <c r="AE12" s="16">
        <v>1</v>
      </c>
      <c r="AF12" s="16">
        <v>5</v>
      </c>
      <c r="AG12" s="16"/>
      <c r="AH12" s="16">
        <v>6</v>
      </c>
      <c r="AI12" s="16">
        <v>10</v>
      </c>
      <c r="AJ12" s="16" t="s">
        <v>65</v>
      </c>
      <c r="AK12" s="15">
        <f t="shared" si="4"/>
        <v>22</v>
      </c>
      <c r="AL12" s="14">
        <f>AK12*65</f>
        <v>1430</v>
      </c>
      <c r="AS12" s="56" t="s">
        <v>4</v>
      </c>
      <c r="AT12" s="12">
        <f>AO61</f>
        <v>1278</v>
      </c>
    </row>
    <row r="13" spans="2:46" ht="15.6" x14ac:dyDescent="0.3">
      <c r="B13" s="17" t="s">
        <v>40</v>
      </c>
      <c r="C13" s="16">
        <v>10</v>
      </c>
      <c r="D13" s="15">
        <f t="shared" si="0"/>
        <v>10</v>
      </c>
      <c r="E13" s="14">
        <f>D13*95</f>
        <v>950</v>
      </c>
      <c r="F13" s="61">
        <v>2</v>
      </c>
      <c r="G13" s="16">
        <v>48</v>
      </c>
      <c r="H13" s="16">
        <v>50</v>
      </c>
      <c r="I13" s="16">
        <v>98</v>
      </c>
      <c r="J13" s="16">
        <v>20</v>
      </c>
      <c r="K13" s="16">
        <v>35</v>
      </c>
      <c r="L13" s="15">
        <f t="shared" si="1"/>
        <v>253</v>
      </c>
      <c r="M13" s="14">
        <f>L13*95</f>
        <v>24035</v>
      </c>
      <c r="N13" s="16">
        <v>29</v>
      </c>
      <c r="O13" s="16">
        <v>2</v>
      </c>
      <c r="P13" s="16">
        <v>20</v>
      </c>
      <c r="Q13" s="16">
        <v>32</v>
      </c>
      <c r="R13" s="16">
        <v>50</v>
      </c>
      <c r="S13" s="16">
        <v>56</v>
      </c>
      <c r="T13" s="15">
        <f t="shared" si="2"/>
        <v>189</v>
      </c>
      <c r="U13" s="14">
        <f>T13*95</f>
        <v>17955</v>
      </c>
      <c r="V13" s="16" t="s">
        <v>65</v>
      </c>
      <c r="W13" s="16">
        <v>29</v>
      </c>
      <c r="X13" s="16">
        <v>34</v>
      </c>
      <c r="Y13" s="16">
        <v>48</v>
      </c>
      <c r="Z13" s="16">
        <v>8</v>
      </c>
      <c r="AA13" s="16">
        <v>20</v>
      </c>
      <c r="AB13" s="15">
        <f t="shared" si="3"/>
        <v>139</v>
      </c>
      <c r="AC13" s="14">
        <f>AB13*95</f>
        <v>13205</v>
      </c>
      <c r="AD13" s="16">
        <v>15</v>
      </c>
      <c r="AE13" s="16">
        <v>23</v>
      </c>
      <c r="AF13" s="16">
        <v>50</v>
      </c>
      <c r="AG13" s="16">
        <v>74</v>
      </c>
      <c r="AH13" s="16">
        <v>16</v>
      </c>
      <c r="AI13" s="16" t="s">
        <v>65</v>
      </c>
      <c r="AJ13" s="16">
        <v>78</v>
      </c>
      <c r="AK13" s="15">
        <f t="shared" si="4"/>
        <v>256</v>
      </c>
      <c r="AL13" s="14">
        <f>AK13*95</f>
        <v>24320</v>
      </c>
      <c r="AS13" s="55" t="s">
        <v>3</v>
      </c>
      <c r="AT13" s="6">
        <f>AO62</f>
        <v>127800</v>
      </c>
    </row>
    <row r="14" spans="2:46" x14ac:dyDescent="0.3">
      <c r="B14" s="17" t="s">
        <v>53</v>
      </c>
      <c r="C14" s="16">
        <v>21</v>
      </c>
      <c r="D14" s="15">
        <f t="shared" si="0"/>
        <v>21</v>
      </c>
      <c r="E14" s="14">
        <f>D14*105</f>
        <v>2205</v>
      </c>
      <c r="F14" s="61">
        <v>4</v>
      </c>
      <c r="G14" s="16">
        <v>23</v>
      </c>
      <c r="H14" s="16">
        <v>1</v>
      </c>
      <c r="I14" s="16">
        <v>20</v>
      </c>
      <c r="J14" s="16">
        <v>30</v>
      </c>
      <c r="K14" s="16" t="s">
        <v>65</v>
      </c>
      <c r="L14" s="15">
        <f t="shared" si="1"/>
        <v>78</v>
      </c>
      <c r="M14" s="14">
        <f>L14*105</f>
        <v>8190</v>
      </c>
      <c r="N14" s="16">
        <v>58</v>
      </c>
      <c r="O14" s="16">
        <v>18</v>
      </c>
      <c r="P14" s="16">
        <v>12</v>
      </c>
      <c r="Q14" s="16">
        <v>38</v>
      </c>
      <c r="R14" s="16">
        <v>1</v>
      </c>
      <c r="S14" s="16">
        <v>6</v>
      </c>
      <c r="T14" s="15">
        <f t="shared" si="2"/>
        <v>133</v>
      </c>
      <c r="U14" s="14">
        <f>T14*105</f>
        <v>13965</v>
      </c>
      <c r="V14" s="16">
        <v>1</v>
      </c>
      <c r="W14" s="16">
        <v>38</v>
      </c>
      <c r="X14" s="16">
        <v>47</v>
      </c>
      <c r="Y14" s="16">
        <v>24</v>
      </c>
      <c r="Z14" s="16" t="s">
        <v>65</v>
      </c>
      <c r="AA14" s="16">
        <v>15</v>
      </c>
      <c r="AB14" s="15">
        <f t="shared" si="3"/>
        <v>125</v>
      </c>
      <c r="AC14" s="14">
        <f>AB14*105</f>
        <v>13125</v>
      </c>
      <c r="AD14" s="16">
        <v>75</v>
      </c>
      <c r="AE14" s="16">
        <v>34</v>
      </c>
      <c r="AF14" s="16">
        <v>60</v>
      </c>
      <c r="AG14" s="16">
        <v>4</v>
      </c>
      <c r="AH14" s="16">
        <v>18</v>
      </c>
      <c r="AI14" s="16">
        <v>10</v>
      </c>
      <c r="AJ14" s="16">
        <v>20</v>
      </c>
      <c r="AK14" s="15">
        <f t="shared" si="4"/>
        <v>221</v>
      </c>
      <c r="AL14" s="14">
        <f>AK14*105</f>
        <v>23205</v>
      </c>
      <c r="AS14" s="10"/>
    </row>
    <row r="15" spans="2:46" x14ac:dyDescent="0.3">
      <c r="B15" s="17" t="s">
        <v>52</v>
      </c>
      <c r="C15" s="16"/>
      <c r="D15" s="15">
        <f t="shared" si="0"/>
        <v>0</v>
      </c>
      <c r="E15" s="14">
        <f>D15*110</f>
        <v>0</v>
      </c>
      <c r="F15" s="61" t="s">
        <v>65</v>
      </c>
      <c r="G15" s="16"/>
      <c r="H15" s="16" t="s">
        <v>65</v>
      </c>
      <c r="I15" s="16" t="s">
        <v>65</v>
      </c>
      <c r="J15" s="16">
        <v>10</v>
      </c>
      <c r="K15" s="16" t="s">
        <v>65</v>
      </c>
      <c r="L15" s="15">
        <f t="shared" si="1"/>
        <v>10</v>
      </c>
      <c r="M15" s="14">
        <f>L15*110</f>
        <v>1100</v>
      </c>
      <c r="N15" s="16">
        <v>2</v>
      </c>
      <c r="O15" s="16"/>
      <c r="P15" s="16">
        <v>15</v>
      </c>
      <c r="Q15" s="16">
        <v>1</v>
      </c>
      <c r="R15" s="16">
        <v>10</v>
      </c>
      <c r="S15" s="16">
        <v>5</v>
      </c>
      <c r="T15" s="15">
        <f t="shared" si="2"/>
        <v>33</v>
      </c>
      <c r="U15" s="14">
        <f>T15*110</f>
        <v>3630</v>
      </c>
      <c r="V15" s="16"/>
      <c r="W15" s="16">
        <v>10</v>
      </c>
      <c r="X15" s="16">
        <v>11</v>
      </c>
      <c r="Y15" s="16">
        <v>1</v>
      </c>
      <c r="Z15" s="16">
        <v>2</v>
      </c>
      <c r="AA15" s="16">
        <v>5</v>
      </c>
      <c r="AB15" s="15">
        <f t="shared" si="3"/>
        <v>29</v>
      </c>
      <c r="AC15" s="14">
        <f>AB15*110</f>
        <v>3190</v>
      </c>
      <c r="AD15" s="16">
        <v>2</v>
      </c>
      <c r="AE15" s="16">
        <v>1</v>
      </c>
      <c r="AF15" s="16" t="s">
        <v>65</v>
      </c>
      <c r="AG15" s="16">
        <v>20</v>
      </c>
      <c r="AH15" s="16" t="s">
        <v>65</v>
      </c>
      <c r="AI15" s="16"/>
      <c r="AJ15" s="16" t="s">
        <v>65</v>
      </c>
      <c r="AK15" s="15">
        <f t="shared" si="4"/>
        <v>23</v>
      </c>
      <c r="AL15" s="14">
        <f>AK15*110</f>
        <v>2530</v>
      </c>
      <c r="AS15" s="54" t="s">
        <v>51</v>
      </c>
      <c r="AT15" s="53">
        <v>339950</v>
      </c>
    </row>
    <row r="16" spans="2:46" x14ac:dyDescent="0.3">
      <c r="B16" s="17" t="s">
        <v>50</v>
      </c>
      <c r="C16" s="16"/>
      <c r="D16" s="15">
        <f t="shared" si="0"/>
        <v>0</v>
      </c>
      <c r="E16" s="14">
        <f>D16*70</f>
        <v>0</v>
      </c>
      <c r="F16" s="61"/>
      <c r="G16" s="16"/>
      <c r="H16" s="16" t="s">
        <v>65</v>
      </c>
      <c r="I16" s="16" t="s">
        <v>65</v>
      </c>
      <c r="J16" s="16"/>
      <c r="K16" s="16">
        <v>5</v>
      </c>
      <c r="L16" s="15">
        <f t="shared" si="1"/>
        <v>5</v>
      </c>
      <c r="M16" s="14">
        <f>L16*70</f>
        <v>350</v>
      </c>
      <c r="N16" s="16">
        <v>3</v>
      </c>
      <c r="O16" s="16"/>
      <c r="P16" s="16">
        <v>15</v>
      </c>
      <c r="Q16" s="16"/>
      <c r="R16" s="16"/>
      <c r="S16" s="16" t="s">
        <v>65</v>
      </c>
      <c r="T16" s="15">
        <f t="shared" si="2"/>
        <v>18</v>
      </c>
      <c r="U16" s="14">
        <f>T16*70</f>
        <v>1260</v>
      </c>
      <c r="V16" s="16"/>
      <c r="W16" s="16">
        <v>4</v>
      </c>
      <c r="X16" s="16">
        <v>20</v>
      </c>
      <c r="Y16" s="16" t="s">
        <v>65</v>
      </c>
      <c r="Z16" s="16"/>
      <c r="AA16" s="16"/>
      <c r="AB16" s="15">
        <f t="shared" si="3"/>
        <v>24</v>
      </c>
      <c r="AC16" s="14">
        <f>AB16*70</f>
        <v>1680</v>
      </c>
      <c r="AD16" s="20">
        <v>10</v>
      </c>
      <c r="AE16" s="16">
        <v>11</v>
      </c>
      <c r="AF16" s="16"/>
      <c r="AG16" s="16"/>
      <c r="AH16" s="16" t="s">
        <v>65</v>
      </c>
      <c r="AI16" s="16"/>
      <c r="AJ16" s="16">
        <v>2</v>
      </c>
      <c r="AK16" s="15">
        <f t="shared" si="4"/>
        <v>23</v>
      </c>
      <c r="AL16" s="14">
        <f>AK16*70</f>
        <v>1610</v>
      </c>
    </row>
    <row r="17" spans="2:42" x14ac:dyDescent="0.3">
      <c r="B17" s="17" t="s">
        <v>28</v>
      </c>
      <c r="C17" s="16"/>
      <c r="D17" s="15">
        <f t="shared" si="0"/>
        <v>0</v>
      </c>
      <c r="E17" s="14">
        <f>D17*0</f>
        <v>0</v>
      </c>
      <c r="F17" s="61">
        <v>1</v>
      </c>
      <c r="G17" s="16"/>
      <c r="H17" s="16" t="s">
        <v>65</v>
      </c>
      <c r="I17" s="16" t="s">
        <v>65</v>
      </c>
      <c r="J17" s="16"/>
      <c r="K17" s="16"/>
      <c r="L17" s="15">
        <f t="shared" si="1"/>
        <v>1</v>
      </c>
      <c r="M17" s="14">
        <f>L17*0</f>
        <v>0</v>
      </c>
      <c r="N17" s="16"/>
      <c r="O17" s="16"/>
      <c r="P17" s="16"/>
      <c r="Q17" s="16"/>
      <c r="R17" s="16"/>
      <c r="S17" s="16" t="s">
        <v>65</v>
      </c>
      <c r="T17" s="15">
        <f t="shared" si="2"/>
        <v>0</v>
      </c>
      <c r="U17" s="14">
        <f>T17*0</f>
        <v>0</v>
      </c>
      <c r="V17" s="16"/>
      <c r="W17" s="16"/>
      <c r="X17" s="16"/>
      <c r="Y17" s="16" t="s">
        <v>65</v>
      </c>
      <c r="Z17" s="16"/>
      <c r="AA17" s="16"/>
      <c r="AB17" s="15">
        <f t="shared" si="3"/>
        <v>0</v>
      </c>
      <c r="AC17" s="14">
        <f>AB17*0</f>
        <v>0</v>
      </c>
      <c r="AD17" s="16"/>
      <c r="AE17" s="16"/>
      <c r="AF17" s="16"/>
      <c r="AG17" s="16"/>
      <c r="AH17" s="16" t="s">
        <v>65</v>
      </c>
      <c r="AI17" s="16"/>
      <c r="AJ17" s="16" t="s">
        <v>65</v>
      </c>
      <c r="AK17" s="15">
        <f t="shared" si="4"/>
        <v>0</v>
      </c>
      <c r="AL17" s="14">
        <f>AK17*0</f>
        <v>0</v>
      </c>
    </row>
    <row r="18" spans="2:42" x14ac:dyDescent="0.3">
      <c r="B18" s="17" t="s">
        <v>49</v>
      </c>
      <c r="C18" s="16"/>
      <c r="D18" s="15">
        <f t="shared" si="0"/>
        <v>0</v>
      </c>
      <c r="E18" s="14">
        <f>D18*0</f>
        <v>0</v>
      </c>
      <c r="F18" s="61"/>
      <c r="G18" s="16"/>
      <c r="H18" s="16" t="s">
        <v>65</v>
      </c>
      <c r="I18" s="16" t="s">
        <v>65</v>
      </c>
      <c r="J18" s="16"/>
      <c r="K18" s="16"/>
      <c r="L18" s="15">
        <f t="shared" si="1"/>
        <v>0</v>
      </c>
      <c r="M18" s="14">
        <f>L18*0</f>
        <v>0</v>
      </c>
      <c r="N18" s="16" t="s">
        <v>65</v>
      </c>
      <c r="O18" s="16"/>
      <c r="P18" s="16"/>
      <c r="Q18" s="16"/>
      <c r="R18" s="16" t="s">
        <v>65</v>
      </c>
      <c r="S18" s="16" t="s">
        <v>65</v>
      </c>
      <c r="T18" s="15">
        <f t="shared" si="2"/>
        <v>0</v>
      </c>
      <c r="U18" s="14">
        <f>T18*0</f>
        <v>0</v>
      </c>
      <c r="V18" s="16"/>
      <c r="W18" s="16"/>
      <c r="X18" s="16"/>
      <c r="Y18" s="16" t="s">
        <v>65</v>
      </c>
      <c r="Z18" s="16"/>
      <c r="AA18" s="16"/>
      <c r="AB18" s="15">
        <f t="shared" si="3"/>
        <v>0</v>
      </c>
      <c r="AC18" s="14">
        <f>AB18*0</f>
        <v>0</v>
      </c>
      <c r="AD18" s="16" t="s">
        <v>65</v>
      </c>
      <c r="AE18" s="16"/>
      <c r="AF18" s="16"/>
      <c r="AG18" s="16" t="s">
        <v>65</v>
      </c>
      <c r="AH18" s="16" t="s">
        <v>65</v>
      </c>
      <c r="AI18" s="16"/>
      <c r="AJ18" s="16" t="s">
        <v>65</v>
      </c>
      <c r="AK18" s="15">
        <f t="shared" si="4"/>
        <v>0</v>
      </c>
      <c r="AL18" s="14">
        <f>AK18*0</f>
        <v>0</v>
      </c>
    </row>
    <row r="19" spans="2:42" ht="15.6" x14ac:dyDescent="0.3">
      <c r="B19" s="52"/>
      <c r="C19" s="51"/>
      <c r="D19" s="39">
        <f>SUM(D4:D16)</f>
        <v>76</v>
      </c>
      <c r="E19" s="49">
        <f>SUM(E4:E16)</f>
        <v>5865</v>
      </c>
      <c r="F19" s="50"/>
      <c r="G19" s="50"/>
      <c r="H19" s="50"/>
      <c r="I19" s="50"/>
      <c r="J19" s="50"/>
      <c r="K19" s="50"/>
      <c r="L19" s="39">
        <f>SUM(L4:L16)</f>
        <v>1172</v>
      </c>
      <c r="M19" s="49">
        <f>SUM(M4:M16)</f>
        <v>83432</v>
      </c>
      <c r="N19" s="50"/>
      <c r="O19" s="50"/>
      <c r="P19" s="50"/>
      <c r="Q19" s="50"/>
      <c r="R19" s="50"/>
      <c r="S19" s="50"/>
      <c r="T19" s="39">
        <f>SUM(T4:T16)</f>
        <v>967</v>
      </c>
      <c r="U19" s="49">
        <f>SUM(U4:U16)</f>
        <v>72655</v>
      </c>
      <c r="V19" s="50"/>
      <c r="W19" s="50"/>
      <c r="X19" s="50"/>
      <c r="Y19" s="50"/>
      <c r="Z19" s="50"/>
      <c r="AA19" s="50"/>
      <c r="AB19" s="39">
        <f>SUM(AB4:AB16)</f>
        <v>932</v>
      </c>
      <c r="AC19" s="49">
        <f>SUM(AC4:AC16)</f>
        <v>68222</v>
      </c>
      <c r="AD19" s="50"/>
      <c r="AE19" s="50"/>
      <c r="AF19" s="50"/>
      <c r="AG19" s="50"/>
      <c r="AH19" s="50"/>
      <c r="AI19" s="50"/>
      <c r="AJ19" s="50"/>
      <c r="AK19" s="39">
        <f>SUM(AK4:AK16)</f>
        <v>1406</v>
      </c>
      <c r="AL19" s="49">
        <f>SUM(AL4:AL16)</f>
        <v>104948</v>
      </c>
      <c r="AN19" s="47" t="s">
        <v>48</v>
      </c>
      <c r="AO19" s="48">
        <f>D50+L50+T50+AB50+AK50</f>
        <v>6162</v>
      </c>
      <c r="AP19" s="30">
        <f>AO20/AO19</f>
        <v>73.629178838039593</v>
      </c>
    </row>
    <row r="20" spans="2:42" ht="15.6" customHeight="1" x14ac:dyDescent="0.3">
      <c r="B20" s="42" t="s">
        <v>47</v>
      </c>
      <c r="C20" s="16"/>
      <c r="D20" s="15">
        <f>SUM(C20:C20)</f>
        <v>0</v>
      </c>
      <c r="E20" s="14">
        <f>D20*85</f>
        <v>0</v>
      </c>
      <c r="F20" s="16">
        <v>4</v>
      </c>
      <c r="G20" s="16" t="s">
        <v>65</v>
      </c>
      <c r="H20" s="16"/>
      <c r="I20" s="16">
        <v>10</v>
      </c>
      <c r="J20" s="16">
        <v>20</v>
      </c>
      <c r="K20" s="16">
        <v>12</v>
      </c>
      <c r="L20" s="15">
        <f>SUM(F20:K20)</f>
        <v>46</v>
      </c>
      <c r="M20" s="14">
        <f>L20*85</f>
        <v>3910</v>
      </c>
      <c r="N20" s="16"/>
      <c r="O20" s="16"/>
      <c r="P20" s="16" t="s">
        <v>65</v>
      </c>
      <c r="Q20" s="16"/>
      <c r="R20" s="16"/>
      <c r="S20" s="16"/>
      <c r="T20" s="15">
        <f>SUM(N20:S20)</f>
        <v>0</v>
      </c>
      <c r="U20" s="14">
        <f>T20*85</f>
        <v>0</v>
      </c>
      <c r="V20" s="16"/>
      <c r="W20" s="16">
        <v>2</v>
      </c>
      <c r="X20" s="16">
        <v>62</v>
      </c>
      <c r="Y20" s="16" t="s">
        <v>65</v>
      </c>
      <c r="Z20" s="16"/>
      <c r="AA20" s="16"/>
      <c r="AB20" s="15">
        <f>SUM(V20:AA20)</f>
        <v>64</v>
      </c>
      <c r="AC20" s="14">
        <f>AB20*85</f>
        <v>5440</v>
      </c>
      <c r="AD20" s="16">
        <v>12</v>
      </c>
      <c r="AE20" s="16"/>
      <c r="AF20" s="16"/>
      <c r="AG20" s="16"/>
      <c r="AH20" s="16">
        <v>10</v>
      </c>
      <c r="AI20" s="16"/>
      <c r="AJ20" s="16">
        <v>13</v>
      </c>
      <c r="AK20" s="15">
        <f>SUM(AD20:AJ20)</f>
        <v>35</v>
      </c>
      <c r="AL20" s="14">
        <f>AK20*85</f>
        <v>2975</v>
      </c>
      <c r="AN20" s="47" t="s">
        <v>3</v>
      </c>
      <c r="AO20" s="46">
        <f>E50+M50+U50+AC50+AL50</f>
        <v>453703</v>
      </c>
    </row>
    <row r="21" spans="2:42" x14ac:dyDescent="0.3">
      <c r="B21" s="42" t="s">
        <v>46</v>
      </c>
      <c r="C21" s="16"/>
      <c r="D21" s="15">
        <f t="shared" ref="D21:D47" si="5">SUM(C21:C21)</f>
        <v>0</v>
      </c>
      <c r="E21" s="14">
        <f>D21*84</f>
        <v>0</v>
      </c>
      <c r="F21" s="16">
        <v>4</v>
      </c>
      <c r="G21" s="16">
        <v>10</v>
      </c>
      <c r="H21" s="16"/>
      <c r="I21" s="16" t="s">
        <v>65</v>
      </c>
      <c r="J21" s="16">
        <v>20</v>
      </c>
      <c r="K21" s="16">
        <v>4</v>
      </c>
      <c r="L21" s="15">
        <f t="shared" ref="L21:L47" si="6">SUM(F21:K21)</f>
        <v>38</v>
      </c>
      <c r="M21" s="14">
        <f>L21*84</f>
        <v>3192</v>
      </c>
      <c r="N21" s="16">
        <v>10</v>
      </c>
      <c r="O21" s="16"/>
      <c r="P21" s="16" t="s">
        <v>65</v>
      </c>
      <c r="Q21" s="16"/>
      <c r="R21" s="16"/>
      <c r="S21" s="16"/>
      <c r="T21" s="15">
        <f t="shared" ref="T21:T47" si="7">SUM(N21:S21)</f>
        <v>10</v>
      </c>
      <c r="U21" s="14">
        <f>T21*84</f>
        <v>840</v>
      </c>
      <c r="V21" s="16">
        <v>5</v>
      </c>
      <c r="W21" s="16"/>
      <c r="X21" s="16">
        <v>47</v>
      </c>
      <c r="Y21" s="16" t="s">
        <v>65</v>
      </c>
      <c r="Z21" s="16"/>
      <c r="AA21" s="16"/>
      <c r="AB21" s="15">
        <f t="shared" ref="AB21:AB47" si="8">SUM(V21:AA21)</f>
        <v>52</v>
      </c>
      <c r="AC21" s="14">
        <f>AB21*84</f>
        <v>4368</v>
      </c>
      <c r="AD21" s="16">
        <v>25</v>
      </c>
      <c r="AE21" s="16"/>
      <c r="AF21" s="16"/>
      <c r="AG21" s="16"/>
      <c r="AH21" s="16">
        <v>10</v>
      </c>
      <c r="AI21" s="16"/>
      <c r="AJ21" s="16">
        <v>7</v>
      </c>
      <c r="AK21" s="15">
        <f t="shared" ref="AK21:AK47" si="9">SUM(AD21:AJ21)</f>
        <v>42</v>
      </c>
      <c r="AL21" s="14">
        <f>AK21*84</f>
        <v>3528</v>
      </c>
    </row>
    <row r="22" spans="2:42" x14ac:dyDescent="0.3">
      <c r="B22" s="42" t="s">
        <v>45</v>
      </c>
      <c r="C22" s="16"/>
      <c r="D22" s="15">
        <f t="shared" si="5"/>
        <v>0</v>
      </c>
      <c r="E22" s="14">
        <f>D22*85</f>
        <v>0</v>
      </c>
      <c r="F22" s="16"/>
      <c r="G22" s="16"/>
      <c r="H22" s="16"/>
      <c r="I22" s="16" t="s">
        <v>65</v>
      </c>
      <c r="J22" s="16"/>
      <c r="K22" s="16" t="s">
        <v>65</v>
      </c>
      <c r="L22" s="15">
        <f t="shared" si="6"/>
        <v>0</v>
      </c>
      <c r="M22" s="14">
        <f>L22*85</f>
        <v>0</v>
      </c>
      <c r="N22" s="16"/>
      <c r="O22" s="16"/>
      <c r="P22" s="16">
        <v>80</v>
      </c>
      <c r="Q22" s="16">
        <v>8</v>
      </c>
      <c r="R22" s="16"/>
      <c r="S22" s="16"/>
      <c r="T22" s="15">
        <f t="shared" si="7"/>
        <v>88</v>
      </c>
      <c r="U22" s="14">
        <f>T22*85</f>
        <v>7480</v>
      </c>
      <c r="V22" s="16"/>
      <c r="W22" s="16"/>
      <c r="X22" s="16">
        <v>17</v>
      </c>
      <c r="Y22" s="16" t="s">
        <v>65</v>
      </c>
      <c r="Z22" s="16"/>
      <c r="AA22" s="16"/>
      <c r="AB22" s="15">
        <f t="shared" si="8"/>
        <v>17</v>
      </c>
      <c r="AC22" s="14">
        <f>AB22*85</f>
        <v>1445</v>
      </c>
      <c r="AD22" s="16">
        <v>10</v>
      </c>
      <c r="AE22" s="16"/>
      <c r="AF22" s="16"/>
      <c r="AG22" s="16"/>
      <c r="AH22" s="16">
        <v>5</v>
      </c>
      <c r="AI22" s="16"/>
      <c r="AJ22" s="16">
        <v>3</v>
      </c>
      <c r="AK22" s="15">
        <f t="shared" si="9"/>
        <v>18</v>
      </c>
      <c r="AL22" s="14">
        <f>AK22*85</f>
        <v>1530</v>
      </c>
    </row>
    <row r="23" spans="2:42" x14ac:dyDescent="0.3">
      <c r="B23" s="42" t="s">
        <v>44</v>
      </c>
      <c r="C23" s="16"/>
      <c r="D23" s="15">
        <f t="shared" si="5"/>
        <v>0</v>
      </c>
      <c r="E23" s="14">
        <f>D23*85</f>
        <v>0</v>
      </c>
      <c r="F23" s="16"/>
      <c r="G23" s="16"/>
      <c r="H23" s="16"/>
      <c r="I23" s="16" t="s">
        <v>65</v>
      </c>
      <c r="J23" s="16"/>
      <c r="K23" s="16">
        <v>4</v>
      </c>
      <c r="L23" s="15">
        <f t="shared" si="6"/>
        <v>4</v>
      </c>
      <c r="M23" s="14">
        <f>L23*85</f>
        <v>340</v>
      </c>
      <c r="N23" s="16">
        <v>4</v>
      </c>
      <c r="O23" s="16"/>
      <c r="P23" s="16">
        <v>10</v>
      </c>
      <c r="Q23" s="16"/>
      <c r="R23" s="16"/>
      <c r="S23" s="16"/>
      <c r="T23" s="15">
        <f t="shared" si="7"/>
        <v>14</v>
      </c>
      <c r="U23" s="14">
        <f>T23*85</f>
        <v>1190</v>
      </c>
      <c r="V23" s="16"/>
      <c r="W23" s="16">
        <v>2</v>
      </c>
      <c r="X23" s="16">
        <v>10</v>
      </c>
      <c r="Y23" s="16" t="s">
        <v>65</v>
      </c>
      <c r="Z23" s="16"/>
      <c r="AA23" s="16"/>
      <c r="AB23" s="15">
        <f t="shared" si="8"/>
        <v>12</v>
      </c>
      <c r="AC23" s="14">
        <f>AB23*85</f>
        <v>1020</v>
      </c>
      <c r="AD23" s="16">
        <v>13</v>
      </c>
      <c r="AE23" s="16">
        <v>2</v>
      </c>
      <c r="AF23" s="16"/>
      <c r="AG23" s="16"/>
      <c r="AH23" s="16"/>
      <c r="AI23" s="16"/>
      <c r="AJ23" s="16"/>
      <c r="AK23" s="15">
        <f t="shared" si="9"/>
        <v>15</v>
      </c>
      <c r="AL23" s="14">
        <f>AK23*85</f>
        <v>1275</v>
      </c>
    </row>
    <row r="24" spans="2:42" ht="15.6" x14ac:dyDescent="0.3">
      <c r="B24" s="42" t="s">
        <v>43</v>
      </c>
      <c r="C24" s="16"/>
      <c r="D24" s="15">
        <f t="shared" si="5"/>
        <v>0</v>
      </c>
      <c r="E24" s="14">
        <f>D24*85</f>
        <v>0</v>
      </c>
      <c r="F24" s="16"/>
      <c r="G24" s="16"/>
      <c r="H24" s="16"/>
      <c r="I24" s="16">
        <v>10</v>
      </c>
      <c r="J24" s="16"/>
      <c r="K24" s="16">
        <v>10</v>
      </c>
      <c r="L24" s="15">
        <f t="shared" si="6"/>
        <v>20</v>
      </c>
      <c r="M24" s="14">
        <f>L24*85</f>
        <v>1700</v>
      </c>
      <c r="N24" s="16"/>
      <c r="O24" s="16"/>
      <c r="P24" s="16">
        <v>85</v>
      </c>
      <c r="Q24" s="16"/>
      <c r="R24" s="16"/>
      <c r="S24" s="16"/>
      <c r="T24" s="15">
        <f t="shared" si="7"/>
        <v>85</v>
      </c>
      <c r="U24" s="14">
        <f>T24*85</f>
        <v>7225</v>
      </c>
      <c r="V24" s="16"/>
      <c r="W24" s="16"/>
      <c r="X24" s="16" t="s">
        <v>65</v>
      </c>
      <c r="Y24" s="16" t="s">
        <v>65</v>
      </c>
      <c r="Z24" s="16"/>
      <c r="AA24" s="16"/>
      <c r="AB24" s="15">
        <f t="shared" si="8"/>
        <v>0</v>
      </c>
      <c r="AC24" s="14">
        <f>AB24*85</f>
        <v>0</v>
      </c>
      <c r="AD24" s="16"/>
      <c r="AE24" s="16"/>
      <c r="AF24" s="16"/>
      <c r="AG24" s="16"/>
      <c r="AH24" s="16"/>
      <c r="AI24" s="16"/>
      <c r="AJ24" s="16"/>
      <c r="AK24" s="15">
        <f t="shared" si="9"/>
        <v>0</v>
      </c>
      <c r="AL24" s="14">
        <f>AK24*85</f>
        <v>0</v>
      </c>
      <c r="AN24" s="70" t="s">
        <v>42</v>
      </c>
      <c r="AO24" s="70"/>
    </row>
    <row r="25" spans="2:42" ht="15.6" x14ac:dyDescent="0.3">
      <c r="B25" s="42" t="s">
        <v>41</v>
      </c>
      <c r="C25" s="16"/>
      <c r="D25" s="15">
        <f t="shared" si="5"/>
        <v>0</v>
      </c>
      <c r="E25" s="14">
        <f>D25*84</f>
        <v>0</v>
      </c>
      <c r="F25" s="16"/>
      <c r="G25" s="16"/>
      <c r="H25" s="16"/>
      <c r="I25" s="16">
        <v>20</v>
      </c>
      <c r="J25" s="16"/>
      <c r="K25" s="16">
        <v>10</v>
      </c>
      <c r="L25" s="15">
        <f t="shared" si="6"/>
        <v>30</v>
      </c>
      <c r="M25" s="14">
        <f>L25*84</f>
        <v>2520</v>
      </c>
      <c r="N25" s="16"/>
      <c r="O25" s="16"/>
      <c r="P25" s="16">
        <v>165</v>
      </c>
      <c r="Q25" s="16"/>
      <c r="R25" s="16"/>
      <c r="S25" s="16"/>
      <c r="T25" s="15">
        <f t="shared" si="7"/>
        <v>165</v>
      </c>
      <c r="U25" s="14">
        <f>T25*84</f>
        <v>13860</v>
      </c>
      <c r="V25" s="16"/>
      <c r="W25" s="16"/>
      <c r="X25" s="16" t="s">
        <v>65</v>
      </c>
      <c r="Y25" s="16">
        <v>55</v>
      </c>
      <c r="Z25" s="16"/>
      <c r="AA25" s="16"/>
      <c r="AB25" s="15">
        <f t="shared" si="8"/>
        <v>55</v>
      </c>
      <c r="AC25" s="14">
        <f>AB25*84</f>
        <v>4620</v>
      </c>
      <c r="AD25" s="16"/>
      <c r="AE25" s="16"/>
      <c r="AF25" s="16"/>
      <c r="AG25" s="16"/>
      <c r="AH25" s="16"/>
      <c r="AI25" s="16"/>
      <c r="AJ25" s="16"/>
      <c r="AK25" s="15">
        <f t="shared" si="9"/>
        <v>0</v>
      </c>
      <c r="AL25" s="14">
        <f>AK25*84</f>
        <v>0</v>
      </c>
      <c r="AN25" s="45" t="s">
        <v>40</v>
      </c>
      <c r="AO25" s="44">
        <f>D13+L13+T13+AB13+AK13</f>
        <v>847</v>
      </c>
    </row>
    <row r="26" spans="2:42" ht="15.6" x14ac:dyDescent="0.3">
      <c r="B26" s="42" t="s">
        <v>39</v>
      </c>
      <c r="C26" s="16"/>
      <c r="D26" s="15">
        <f t="shared" si="5"/>
        <v>0</v>
      </c>
      <c r="E26" s="14">
        <f>D26*85</f>
        <v>0</v>
      </c>
      <c r="F26" s="16"/>
      <c r="G26" s="16"/>
      <c r="H26" s="16"/>
      <c r="I26" s="16"/>
      <c r="J26" s="16"/>
      <c r="K26" s="16"/>
      <c r="L26" s="15">
        <f t="shared" si="6"/>
        <v>0</v>
      </c>
      <c r="M26" s="14">
        <f>L26*85</f>
        <v>0</v>
      </c>
      <c r="N26" s="16">
        <v>1</v>
      </c>
      <c r="O26" s="16"/>
      <c r="P26" s="16">
        <v>5</v>
      </c>
      <c r="Q26" s="16"/>
      <c r="R26" s="16"/>
      <c r="S26" s="16"/>
      <c r="T26" s="15">
        <f t="shared" si="7"/>
        <v>6</v>
      </c>
      <c r="U26" s="14">
        <f>T26*85</f>
        <v>510</v>
      </c>
      <c r="V26" s="16"/>
      <c r="W26" s="16">
        <v>2</v>
      </c>
      <c r="X26" s="16" t="s">
        <v>65</v>
      </c>
      <c r="Y26" s="16"/>
      <c r="Z26" s="16"/>
      <c r="AA26" s="16"/>
      <c r="AB26" s="15">
        <f t="shared" si="8"/>
        <v>2</v>
      </c>
      <c r="AC26" s="14">
        <f>AB26*85</f>
        <v>170</v>
      </c>
      <c r="AD26" s="16"/>
      <c r="AE26" s="16">
        <v>1</v>
      </c>
      <c r="AF26" s="16"/>
      <c r="AG26" s="16"/>
      <c r="AH26" s="16"/>
      <c r="AI26" s="16"/>
      <c r="AJ26" s="16"/>
      <c r="AK26" s="15">
        <f t="shared" si="9"/>
        <v>1</v>
      </c>
      <c r="AL26" s="14">
        <f>AK26*85</f>
        <v>85</v>
      </c>
      <c r="AN26" s="45" t="s">
        <v>38</v>
      </c>
      <c r="AO26" s="44">
        <f>D14+L14+T14+AB14+AK14</f>
        <v>578</v>
      </c>
    </row>
    <row r="27" spans="2:42" ht="15.6" x14ac:dyDescent="0.3">
      <c r="B27" s="42" t="s">
        <v>37</v>
      </c>
      <c r="C27" s="16"/>
      <c r="D27" s="15">
        <f t="shared" si="5"/>
        <v>0</v>
      </c>
      <c r="E27" s="14">
        <f>D27*85</f>
        <v>0</v>
      </c>
      <c r="F27" s="16"/>
      <c r="G27" s="16"/>
      <c r="H27" s="16"/>
      <c r="I27" s="16"/>
      <c r="J27" s="16"/>
      <c r="K27" s="16"/>
      <c r="L27" s="15">
        <f t="shared" si="6"/>
        <v>0</v>
      </c>
      <c r="M27" s="14">
        <f>L27*85</f>
        <v>0</v>
      </c>
      <c r="N27" s="16"/>
      <c r="O27" s="16"/>
      <c r="P27" s="16" t="s">
        <v>65</v>
      </c>
      <c r="Q27" s="16"/>
      <c r="R27" s="16"/>
      <c r="S27" s="16"/>
      <c r="T27" s="15">
        <f t="shared" si="7"/>
        <v>0</v>
      </c>
      <c r="U27" s="14">
        <f>T27*85</f>
        <v>0</v>
      </c>
      <c r="V27" s="16"/>
      <c r="W27" s="16"/>
      <c r="X27" s="16" t="s">
        <v>65</v>
      </c>
      <c r="Y27" s="16"/>
      <c r="Z27" s="16"/>
      <c r="AA27" s="16"/>
      <c r="AB27" s="15">
        <f t="shared" si="8"/>
        <v>0</v>
      </c>
      <c r="AC27" s="14">
        <f>AB27*85</f>
        <v>0</v>
      </c>
      <c r="AD27" s="16"/>
      <c r="AE27" s="16"/>
      <c r="AF27" s="16"/>
      <c r="AG27" s="16"/>
      <c r="AH27" s="16"/>
      <c r="AI27" s="16"/>
      <c r="AJ27" s="16"/>
      <c r="AK27" s="15">
        <f t="shared" si="9"/>
        <v>0</v>
      </c>
      <c r="AL27" s="14">
        <f>AK27*85</f>
        <v>0</v>
      </c>
      <c r="AN27" s="45" t="s">
        <v>36</v>
      </c>
      <c r="AO27" s="44">
        <f>D15+L15+T15+AB15+AK15</f>
        <v>95</v>
      </c>
    </row>
    <row r="28" spans="2:42" x14ac:dyDescent="0.3">
      <c r="B28" s="42" t="s">
        <v>35</v>
      </c>
      <c r="C28" s="16"/>
      <c r="D28" s="15">
        <f t="shared" si="5"/>
        <v>0</v>
      </c>
      <c r="E28" s="14">
        <f>D28*75</f>
        <v>0</v>
      </c>
      <c r="F28" s="16"/>
      <c r="G28" s="16"/>
      <c r="H28" s="16"/>
      <c r="I28" s="16"/>
      <c r="J28" s="16"/>
      <c r="K28" s="16"/>
      <c r="L28" s="15">
        <f t="shared" si="6"/>
        <v>0</v>
      </c>
      <c r="M28" s="14">
        <f>L28*75</f>
        <v>0</v>
      </c>
      <c r="N28" s="16">
        <v>1</v>
      </c>
      <c r="O28" s="16"/>
      <c r="P28" s="16">
        <v>35</v>
      </c>
      <c r="Q28" s="16">
        <v>10</v>
      </c>
      <c r="R28" s="20"/>
      <c r="S28" s="16"/>
      <c r="T28" s="15">
        <f t="shared" si="7"/>
        <v>46</v>
      </c>
      <c r="U28" s="14">
        <f>T28*75</f>
        <v>3450</v>
      </c>
      <c r="V28" s="16"/>
      <c r="W28" s="16"/>
      <c r="X28" s="16">
        <v>5</v>
      </c>
      <c r="Y28" s="16"/>
      <c r="Z28" s="16">
        <v>8</v>
      </c>
      <c r="AA28" s="16"/>
      <c r="AB28" s="15">
        <f t="shared" si="8"/>
        <v>13</v>
      </c>
      <c r="AC28" s="14">
        <f>AB28*75</f>
        <v>975</v>
      </c>
      <c r="AD28" s="16"/>
      <c r="AE28" s="16"/>
      <c r="AF28" s="16"/>
      <c r="AG28" s="16"/>
      <c r="AH28" s="16"/>
      <c r="AI28" s="16"/>
      <c r="AJ28" s="16"/>
      <c r="AK28" s="15">
        <f t="shared" si="9"/>
        <v>0</v>
      </c>
      <c r="AL28" s="14">
        <f>AK28*75</f>
        <v>0</v>
      </c>
      <c r="AM28" t="s">
        <v>67</v>
      </c>
      <c r="AO28" s="43">
        <f>SUM(AO25:AO27)</f>
        <v>1520</v>
      </c>
    </row>
    <row r="29" spans="2:42" x14ac:dyDescent="0.3">
      <c r="B29" s="42" t="s">
        <v>34</v>
      </c>
      <c r="C29" s="16"/>
      <c r="D29" s="15">
        <f t="shared" si="5"/>
        <v>0</v>
      </c>
      <c r="E29" s="14">
        <f>D29*75</f>
        <v>0</v>
      </c>
      <c r="F29" s="16"/>
      <c r="G29" s="16"/>
      <c r="H29" s="16"/>
      <c r="I29" s="16"/>
      <c r="J29" s="16"/>
      <c r="K29" s="16"/>
      <c r="L29" s="15">
        <f t="shared" si="6"/>
        <v>0</v>
      </c>
      <c r="M29" s="14">
        <f>L29*75</f>
        <v>0</v>
      </c>
      <c r="N29" s="16">
        <v>1</v>
      </c>
      <c r="O29" s="16"/>
      <c r="P29" s="16" t="s">
        <v>65</v>
      </c>
      <c r="Q29" s="16"/>
      <c r="R29" s="16"/>
      <c r="S29" s="16"/>
      <c r="T29" s="15">
        <f t="shared" si="7"/>
        <v>1</v>
      </c>
      <c r="U29" s="14">
        <f>T29*75</f>
        <v>75</v>
      </c>
      <c r="V29" s="16"/>
      <c r="W29" s="16"/>
      <c r="X29" s="16" t="s">
        <v>65</v>
      </c>
      <c r="Y29" s="16"/>
      <c r="Z29" s="16">
        <v>10</v>
      </c>
      <c r="AA29" s="16"/>
      <c r="AB29" s="15">
        <f t="shared" si="8"/>
        <v>10</v>
      </c>
      <c r="AC29" s="14">
        <f>AB29*75</f>
        <v>750</v>
      </c>
      <c r="AD29" s="16"/>
      <c r="AE29" s="16"/>
      <c r="AF29" s="16"/>
      <c r="AG29" s="16"/>
      <c r="AH29" s="16"/>
      <c r="AI29" s="16"/>
      <c r="AJ29" s="16"/>
      <c r="AK29" s="15">
        <f t="shared" si="9"/>
        <v>0</v>
      </c>
      <c r="AL29" s="14">
        <f>AK29*75</f>
        <v>0</v>
      </c>
    </row>
    <row r="30" spans="2:42" x14ac:dyDescent="0.3">
      <c r="B30" s="42" t="s">
        <v>33</v>
      </c>
      <c r="C30" s="16"/>
      <c r="D30" s="15">
        <f t="shared" si="5"/>
        <v>0</v>
      </c>
      <c r="E30" s="14">
        <f>D30*78</f>
        <v>0</v>
      </c>
      <c r="F30" s="16">
        <v>1</v>
      </c>
      <c r="G30" s="16">
        <v>5</v>
      </c>
      <c r="H30" s="16">
        <v>10</v>
      </c>
      <c r="I30" s="16">
        <v>20</v>
      </c>
      <c r="J30" s="16">
        <v>20</v>
      </c>
      <c r="K30" s="16">
        <v>2</v>
      </c>
      <c r="L30" s="15">
        <f t="shared" si="6"/>
        <v>58</v>
      </c>
      <c r="M30" s="14">
        <f>L30*78</f>
        <v>4524</v>
      </c>
      <c r="N30" s="16">
        <v>7</v>
      </c>
      <c r="O30" s="16"/>
      <c r="P30" s="16">
        <v>85</v>
      </c>
      <c r="Q30" s="16"/>
      <c r="R30" s="16"/>
      <c r="S30" s="16">
        <v>6</v>
      </c>
      <c r="T30" s="15">
        <f t="shared" si="7"/>
        <v>98</v>
      </c>
      <c r="U30" s="14">
        <f>T30*78</f>
        <v>7644</v>
      </c>
      <c r="V30" s="16"/>
      <c r="W30" s="16">
        <v>14</v>
      </c>
      <c r="X30" s="16">
        <v>10</v>
      </c>
      <c r="Y30" s="16">
        <v>3</v>
      </c>
      <c r="Z30" s="16">
        <v>10</v>
      </c>
      <c r="AA30" s="16"/>
      <c r="AB30" s="15">
        <f t="shared" si="8"/>
        <v>37</v>
      </c>
      <c r="AC30" s="14">
        <f>AB30*78</f>
        <v>2886</v>
      </c>
      <c r="AD30" s="16">
        <v>30</v>
      </c>
      <c r="AE30" s="16">
        <v>6</v>
      </c>
      <c r="AF30" s="16">
        <v>15</v>
      </c>
      <c r="AG30" s="16"/>
      <c r="AH30" s="16"/>
      <c r="AI30" s="16"/>
      <c r="AJ30" s="16"/>
      <c r="AK30" s="15">
        <f t="shared" si="9"/>
        <v>51</v>
      </c>
      <c r="AL30" s="14">
        <f>AK30*78</f>
        <v>3978</v>
      </c>
    </row>
    <row r="31" spans="2:42" x14ac:dyDescent="0.3">
      <c r="B31" s="42" t="s">
        <v>32</v>
      </c>
      <c r="C31" s="16"/>
      <c r="D31" s="15">
        <f t="shared" si="5"/>
        <v>0</v>
      </c>
      <c r="E31" s="14">
        <f>D31*70</f>
        <v>0</v>
      </c>
      <c r="F31" s="16"/>
      <c r="G31" s="16"/>
      <c r="H31" s="16"/>
      <c r="I31" s="16"/>
      <c r="J31" s="16"/>
      <c r="K31" s="16"/>
      <c r="L31" s="15">
        <f t="shared" si="6"/>
        <v>0</v>
      </c>
      <c r="M31" s="14">
        <f>L31*70</f>
        <v>0</v>
      </c>
      <c r="N31" s="16"/>
      <c r="O31" s="16"/>
      <c r="P31" s="16"/>
      <c r="Q31" s="16"/>
      <c r="R31" s="16"/>
      <c r="S31" s="16"/>
      <c r="T31" s="15">
        <f t="shared" si="7"/>
        <v>0</v>
      </c>
      <c r="U31" s="14">
        <f>T31*70</f>
        <v>0</v>
      </c>
      <c r="V31" s="16"/>
      <c r="W31" s="16"/>
      <c r="X31" s="16" t="s">
        <v>65</v>
      </c>
      <c r="Y31" s="16"/>
      <c r="Z31" s="16"/>
      <c r="AA31" s="16"/>
      <c r="AB31" s="15">
        <f t="shared" si="8"/>
        <v>0</v>
      </c>
      <c r="AC31" s="14">
        <f>AB31*70</f>
        <v>0</v>
      </c>
      <c r="AD31" s="16"/>
      <c r="AE31" s="16"/>
      <c r="AF31" s="16"/>
      <c r="AG31" s="16"/>
      <c r="AH31" s="16"/>
      <c r="AI31" s="16"/>
      <c r="AJ31" s="16"/>
      <c r="AK31" s="15">
        <f t="shared" si="9"/>
        <v>0</v>
      </c>
      <c r="AL31" s="14">
        <f>AK31*70</f>
        <v>0</v>
      </c>
    </row>
    <row r="32" spans="2:42" x14ac:dyDescent="0.3">
      <c r="B32" s="42" t="s">
        <v>31</v>
      </c>
      <c r="C32" s="16"/>
      <c r="D32" s="15">
        <f t="shared" si="5"/>
        <v>0</v>
      </c>
      <c r="E32" s="14">
        <f>D32*60</f>
        <v>0</v>
      </c>
      <c r="F32" s="16"/>
      <c r="G32" s="16"/>
      <c r="H32" s="16"/>
      <c r="I32" s="16"/>
      <c r="J32" s="16"/>
      <c r="K32" s="16"/>
      <c r="L32" s="15">
        <f t="shared" si="6"/>
        <v>0</v>
      </c>
      <c r="M32" s="14">
        <f>L32*60</f>
        <v>0</v>
      </c>
      <c r="N32" s="16"/>
      <c r="O32" s="16"/>
      <c r="P32" s="16"/>
      <c r="Q32" s="16"/>
      <c r="R32" s="16"/>
      <c r="S32" s="16"/>
      <c r="T32" s="15">
        <f t="shared" si="7"/>
        <v>0</v>
      </c>
      <c r="U32" s="14">
        <f>T32*60</f>
        <v>0</v>
      </c>
      <c r="V32" s="16"/>
      <c r="W32" s="16"/>
      <c r="X32" s="16" t="s">
        <v>65</v>
      </c>
      <c r="Y32" s="16"/>
      <c r="Z32" s="16"/>
      <c r="AA32" s="16"/>
      <c r="AB32" s="15">
        <f t="shared" si="8"/>
        <v>0</v>
      </c>
      <c r="AC32" s="14">
        <f>AB32*60</f>
        <v>0</v>
      </c>
      <c r="AD32" s="16"/>
      <c r="AE32" s="16"/>
      <c r="AF32" s="16"/>
      <c r="AG32" s="16"/>
      <c r="AH32" s="16"/>
      <c r="AI32" s="16"/>
      <c r="AJ32" s="16"/>
      <c r="AK32" s="15">
        <f t="shared" si="9"/>
        <v>0</v>
      </c>
      <c r="AL32" s="14">
        <f>AK32*60</f>
        <v>0</v>
      </c>
    </row>
    <row r="33" spans="2:42" x14ac:dyDescent="0.3">
      <c r="B33" s="42" t="s">
        <v>30</v>
      </c>
      <c r="C33" s="16"/>
      <c r="D33" s="15">
        <f t="shared" si="5"/>
        <v>0</v>
      </c>
      <c r="E33" s="14">
        <f>D33*60</f>
        <v>0</v>
      </c>
      <c r="F33" s="16"/>
      <c r="G33" s="16"/>
      <c r="H33" s="16"/>
      <c r="I33" s="16"/>
      <c r="J33" s="16"/>
      <c r="K33" s="16"/>
      <c r="L33" s="15">
        <f t="shared" si="6"/>
        <v>0</v>
      </c>
      <c r="M33" s="14">
        <f>L33*60</f>
        <v>0</v>
      </c>
      <c r="N33" s="16"/>
      <c r="O33" s="16"/>
      <c r="P33" s="16"/>
      <c r="Q33" s="16"/>
      <c r="R33" s="16"/>
      <c r="S33" s="16"/>
      <c r="T33" s="15">
        <f t="shared" si="7"/>
        <v>0</v>
      </c>
      <c r="U33" s="14">
        <f>T33*60</f>
        <v>0</v>
      </c>
      <c r="V33" s="16"/>
      <c r="W33" s="16"/>
      <c r="X33" s="16" t="s">
        <v>65</v>
      </c>
      <c r="Y33" s="16"/>
      <c r="Z33" s="16"/>
      <c r="AA33" s="16"/>
      <c r="AB33" s="15">
        <f t="shared" si="8"/>
        <v>0</v>
      </c>
      <c r="AC33" s="14">
        <f>AB33*60</f>
        <v>0</v>
      </c>
      <c r="AD33" s="16"/>
      <c r="AE33" s="16"/>
      <c r="AF33" s="16"/>
      <c r="AG33" s="16"/>
      <c r="AH33" s="16"/>
      <c r="AI33" s="16"/>
      <c r="AJ33" s="16"/>
      <c r="AK33" s="15">
        <f t="shared" si="9"/>
        <v>0</v>
      </c>
      <c r="AL33" s="14">
        <f>AK33*60</f>
        <v>0</v>
      </c>
    </row>
    <row r="34" spans="2:42" x14ac:dyDescent="0.3">
      <c r="B34" s="42" t="s">
        <v>29</v>
      </c>
      <c r="C34" s="16"/>
      <c r="D34" s="15">
        <f t="shared" si="5"/>
        <v>0</v>
      </c>
      <c r="E34" s="14">
        <f>D34*40</f>
        <v>0</v>
      </c>
      <c r="F34" s="16"/>
      <c r="G34" s="16"/>
      <c r="H34" s="16"/>
      <c r="I34" s="16"/>
      <c r="J34" s="16"/>
      <c r="K34" s="16"/>
      <c r="L34" s="15">
        <f t="shared" si="6"/>
        <v>0</v>
      </c>
      <c r="M34" s="14">
        <f>L34*40</f>
        <v>0</v>
      </c>
      <c r="N34" s="16"/>
      <c r="O34" s="16"/>
      <c r="P34" s="16"/>
      <c r="Q34" s="16"/>
      <c r="R34" s="16">
        <v>50</v>
      </c>
      <c r="S34" s="16">
        <v>10</v>
      </c>
      <c r="T34" s="15">
        <f t="shared" si="7"/>
        <v>60</v>
      </c>
      <c r="U34" s="14">
        <f>T34*40</f>
        <v>2400</v>
      </c>
      <c r="V34" s="16"/>
      <c r="W34" s="16"/>
      <c r="X34" s="16" t="s">
        <v>65</v>
      </c>
      <c r="Y34" s="16"/>
      <c r="Z34" s="16"/>
      <c r="AA34" s="16"/>
      <c r="AB34" s="15">
        <f t="shared" si="8"/>
        <v>0</v>
      </c>
      <c r="AC34" s="14">
        <f>AB34*40</f>
        <v>0</v>
      </c>
      <c r="AD34" s="16"/>
      <c r="AE34" s="16"/>
      <c r="AF34" s="16"/>
      <c r="AG34" s="16"/>
      <c r="AH34" s="16"/>
      <c r="AI34" s="16"/>
      <c r="AJ34" s="16"/>
      <c r="AK34" s="15">
        <f t="shared" si="9"/>
        <v>0</v>
      </c>
      <c r="AL34" s="14">
        <f>AK34*40</f>
        <v>0</v>
      </c>
    </row>
    <row r="35" spans="2:42" x14ac:dyDescent="0.3">
      <c r="B35" s="42" t="s">
        <v>28</v>
      </c>
      <c r="C35" s="16"/>
      <c r="D35" s="15">
        <f t="shared" si="5"/>
        <v>0</v>
      </c>
      <c r="E35" s="14">
        <f>D35*40</f>
        <v>0</v>
      </c>
      <c r="F35" s="16"/>
      <c r="G35" s="16"/>
      <c r="H35" s="16"/>
      <c r="I35" s="16">
        <v>12</v>
      </c>
      <c r="J35" s="16">
        <v>2</v>
      </c>
      <c r="K35" s="16"/>
      <c r="L35" s="15">
        <f t="shared" si="6"/>
        <v>14</v>
      </c>
      <c r="M35" s="14">
        <f>L35*40</f>
        <v>560</v>
      </c>
      <c r="N35" s="16"/>
      <c r="O35" s="16">
        <v>70</v>
      </c>
      <c r="P35" s="16"/>
      <c r="Q35" s="16">
        <v>20</v>
      </c>
      <c r="R35" s="16">
        <v>50</v>
      </c>
      <c r="S35" s="16">
        <v>32</v>
      </c>
      <c r="T35" s="15">
        <f t="shared" si="7"/>
        <v>172</v>
      </c>
      <c r="U35" s="14">
        <f>T35*40</f>
        <v>6880</v>
      </c>
      <c r="V35" s="16"/>
      <c r="W35" s="16"/>
      <c r="X35" s="16" t="s">
        <v>65</v>
      </c>
      <c r="Y35" s="16">
        <v>10</v>
      </c>
      <c r="Z35" s="16"/>
      <c r="AA35" s="16"/>
      <c r="AB35" s="15">
        <f t="shared" si="8"/>
        <v>10</v>
      </c>
      <c r="AC35" s="14">
        <f>AB35*40</f>
        <v>400</v>
      </c>
      <c r="AD35" s="16">
        <v>28</v>
      </c>
      <c r="AE35" s="16">
        <v>1</v>
      </c>
      <c r="AF35" s="16">
        <v>20</v>
      </c>
      <c r="AG35" s="16">
        <v>15</v>
      </c>
      <c r="AH35" s="16">
        <v>15</v>
      </c>
      <c r="AI35" s="16"/>
      <c r="AJ35" s="16"/>
      <c r="AK35" s="15">
        <f t="shared" si="9"/>
        <v>79</v>
      </c>
      <c r="AL35" s="14">
        <f>AK35*40</f>
        <v>3160</v>
      </c>
    </row>
    <row r="36" spans="2:42" x14ac:dyDescent="0.3">
      <c r="B36" s="42" t="s">
        <v>27</v>
      </c>
      <c r="C36" s="16"/>
      <c r="D36" s="15">
        <f t="shared" si="5"/>
        <v>0</v>
      </c>
      <c r="E36" s="14">
        <f>D36*76</f>
        <v>0</v>
      </c>
      <c r="F36" s="16"/>
      <c r="G36" s="16"/>
      <c r="H36" s="16"/>
      <c r="I36" s="16"/>
      <c r="J36" s="16"/>
      <c r="K36" s="16"/>
      <c r="L36" s="15">
        <f t="shared" si="6"/>
        <v>0</v>
      </c>
      <c r="M36" s="14">
        <f>L36*76</f>
        <v>0</v>
      </c>
      <c r="N36" s="16">
        <v>10</v>
      </c>
      <c r="O36" s="16"/>
      <c r="P36" s="16"/>
      <c r="Q36" s="16"/>
      <c r="R36" s="16"/>
      <c r="S36" s="16"/>
      <c r="T36" s="15">
        <f t="shared" si="7"/>
        <v>10</v>
      </c>
      <c r="U36" s="14">
        <f>T36*76</f>
        <v>760</v>
      </c>
      <c r="V36" s="16"/>
      <c r="W36" s="16"/>
      <c r="X36" s="16">
        <v>61</v>
      </c>
      <c r="Y36" s="16"/>
      <c r="Z36" s="16"/>
      <c r="AA36" s="16"/>
      <c r="AB36" s="15">
        <f t="shared" si="8"/>
        <v>61</v>
      </c>
      <c r="AC36" s="14">
        <f>AB36*76</f>
        <v>4636</v>
      </c>
      <c r="AD36" s="16">
        <v>30</v>
      </c>
      <c r="AE36" s="16"/>
      <c r="AF36" s="16"/>
      <c r="AG36" s="16"/>
      <c r="AH36" s="16"/>
      <c r="AI36" s="16"/>
      <c r="AJ36" s="16"/>
      <c r="AK36" s="15">
        <f t="shared" si="9"/>
        <v>30</v>
      </c>
      <c r="AL36" s="14">
        <f>AK36*76</f>
        <v>2280</v>
      </c>
    </row>
    <row r="37" spans="2:42" x14ac:dyDescent="0.3">
      <c r="B37" s="42" t="s">
        <v>26</v>
      </c>
      <c r="C37" s="16"/>
      <c r="D37" s="15">
        <f t="shared" si="5"/>
        <v>0</v>
      </c>
      <c r="E37" s="14">
        <f>D37*90</f>
        <v>0</v>
      </c>
      <c r="F37" s="16"/>
      <c r="G37" s="16"/>
      <c r="H37" s="16"/>
      <c r="I37" s="16"/>
      <c r="J37" s="16"/>
      <c r="K37" s="16"/>
      <c r="L37" s="15">
        <f t="shared" si="6"/>
        <v>0</v>
      </c>
      <c r="M37" s="14">
        <f>L37*90</f>
        <v>0</v>
      </c>
      <c r="N37" s="16"/>
      <c r="O37" s="16"/>
      <c r="P37" s="16"/>
      <c r="Q37" s="16"/>
      <c r="R37" s="16"/>
      <c r="S37" s="16"/>
      <c r="T37" s="15">
        <f t="shared" si="7"/>
        <v>0</v>
      </c>
      <c r="U37" s="14">
        <f>T37*90</f>
        <v>0</v>
      </c>
      <c r="V37" s="16"/>
      <c r="W37" s="16"/>
      <c r="X37" s="16" t="s">
        <v>65</v>
      </c>
      <c r="Y37" s="16"/>
      <c r="Z37" s="16"/>
      <c r="AA37" s="16"/>
      <c r="AB37" s="15">
        <f t="shared" si="8"/>
        <v>0</v>
      </c>
      <c r="AC37" s="14">
        <f>AB37*90</f>
        <v>0</v>
      </c>
      <c r="AD37" s="16"/>
      <c r="AE37" s="16"/>
      <c r="AF37" s="16"/>
      <c r="AG37" s="16"/>
      <c r="AH37" s="16"/>
      <c r="AI37" s="16"/>
      <c r="AJ37" s="16"/>
      <c r="AK37" s="15">
        <f t="shared" si="9"/>
        <v>0</v>
      </c>
      <c r="AL37" s="14">
        <f>AK37*90</f>
        <v>0</v>
      </c>
    </row>
    <row r="38" spans="2:42" x14ac:dyDescent="0.3">
      <c r="B38" s="42" t="s">
        <v>25</v>
      </c>
      <c r="C38" s="16"/>
      <c r="D38" s="15">
        <f t="shared" si="5"/>
        <v>0</v>
      </c>
      <c r="E38" s="14">
        <f>D38*91</f>
        <v>0</v>
      </c>
      <c r="F38" s="16"/>
      <c r="G38" s="16"/>
      <c r="H38" s="16"/>
      <c r="I38" s="16"/>
      <c r="J38" s="16"/>
      <c r="K38" s="16"/>
      <c r="L38" s="15">
        <f t="shared" si="6"/>
        <v>0</v>
      </c>
      <c r="M38" s="14">
        <f>L38*91</f>
        <v>0</v>
      </c>
      <c r="N38" s="16"/>
      <c r="O38" s="16"/>
      <c r="P38" s="16"/>
      <c r="Q38" s="16"/>
      <c r="R38" s="16"/>
      <c r="S38" s="16"/>
      <c r="T38" s="15">
        <f t="shared" si="7"/>
        <v>0</v>
      </c>
      <c r="U38" s="14">
        <f>T38*91</f>
        <v>0</v>
      </c>
      <c r="V38" s="16"/>
      <c r="W38" s="16"/>
      <c r="X38" s="16" t="s">
        <v>65</v>
      </c>
      <c r="Y38" s="16"/>
      <c r="Z38" s="20"/>
      <c r="AA38" s="16"/>
      <c r="AB38" s="15">
        <f t="shared" si="8"/>
        <v>0</v>
      </c>
      <c r="AC38" s="14">
        <f>AB38*91</f>
        <v>0</v>
      </c>
      <c r="AD38" s="16"/>
      <c r="AE38" s="16"/>
      <c r="AF38" s="16"/>
      <c r="AG38" s="16"/>
      <c r="AH38" s="16"/>
      <c r="AI38" s="16"/>
      <c r="AJ38" s="16"/>
      <c r="AK38" s="15">
        <f t="shared" si="9"/>
        <v>0</v>
      </c>
      <c r="AL38" s="14">
        <f>AK38*91</f>
        <v>0</v>
      </c>
    </row>
    <row r="39" spans="2:42" x14ac:dyDescent="0.3">
      <c r="B39" s="42" t="s">
        <v>24</v>
      </c>
      <c r="C39" s="16"/>
      <c r="D39" s="15">
        <f t="shared" si="5"/>
        <v>0</v>
      </c>
      <c r="E39" s="14">
        <f>D39*90</f>
        <v>0</v>
      </c>
      <c r="F39" s="16"/>
      <c r="G39" s="16"/>
      <c r="H39" s="16"/>
      <c r="I39" s="16"/>
      <c r="J39" s="16"/>
      <c r="K39" s="16"/>
      <c r="L39" s="15">
        <f t="shared" si="6"/>
        <v>0</v>
      </c>
      <c r="M39" s="14">
        <f>L39*90</f>
        <v>0</v>
      </c>
      <c r="N39" s="16"/>
      <c r="O39" s="16"/>
      <c r="P39" s="16"/>
      <c r="Q39" s="16"/>
      <c r="R39" s="16"/>
      <c r="S39" s="16"/>
      <c r="T39" s="15">
        <f t="shared" si="7"/>
        <v>0</v>
      </c>
      <c r="U39" s="14">
        <f>T39*90</f>
        <v>0</v>
      </c>
      <c r="V39" s="16"/>
      <c r="W39" s="16"/>
      <c r="X39" s="16" t="s">
        <v>65</v>
      </c>
      <c r="Y39" s="16"/>
      <c r="Z39" s="16"/>
      <c r="AA39" s="16"/>
      <c r="AB39" s="15">
        <f t="shared" si="8"/>
        <v>0</v>
      </c>
      <c r="AC39" s="14">
        <f>AB39*90</f>
        <v>0</v>
      </c>
      <c r="AD39" s="16"/>
      <c r="AE39" s="16"/>
      <c r="AF39" s="16"/>
      <c r="AG39" s="16"/>
      <c r="AH39" s="16"/>
      <c r="AI39" s="16"/>
      <c r="AJ39" s="16"/>
      <c r="AK39" s="15">
        <f t="shared" si="9"/>
        <v>0</v>
      </c>
      <c r="AL39" s="14">
        <f>AK39*90</f>
        <v>0</v>
      </c>
    </row>
    <row r="40" spans="2:42" x14ac:dyDescent="0.3">
      <c r="B40" s="42" t="s">
        <v>23</v>
      </c>
      <c r="C40" s="16"/>
      <c r="D40" s="15">
        <f t="shared" si="5"/>
        <v>0</v>
      </c>
      <c r="E40" s="14">
        <f>D40*76</f>
        <v>0</v>
      </c>
      <c r="F40" s="16"/>
      <c r="G40" s="16"/>
      <c r="H40" s="16"/>
      <c r="I40" s="16"/>
      <c r="J40" s="16"/>
      <c r="K40" s="16"/>
      <c r="L40" s="15">
        <f t="shared" si="6"/>
        <v>0</v>
      </c>
      <c r="M40" s="14">
        <f>L40*76</f>
        <v>0</v>
      </c>
      <c r="N40" s="16"/>
      <c r="O40" s="16"/>
      <c r="P40" s="16"/>
      <c r="Q40" s="16"/>
      <c r="R40" s="16"/>
      <c r="S40" s="16"/>
      <c r="T40" s="15">
        <f t="shared" si="7"/>
        <v>0</v>
      </c>
      <c r="U40" s="14">
        <f>T40*76</f>
        <v>0</v>
      </c>
      <c r="V40" s="16"/>
      <c r="W40" s="16"/>
      <c r="X40" s="16" t="s">
        <v>65</v>
      </c>
      <c r="Y40" s="16"/>
      <c r="Z40" s="16"/>
      <c r="AA40" s="16"/>
      <c r="AB40" s="15">
        <f t="shared" si="8"/>
        <v>0</v>
      </c>
      <c r="AC40" s="14">
        <f>AB40*76</f>
        <v>0</v>
      </c>
      <c r="AD40" s="16"/>
      <c r="AE40" s="16"/>
      <c r="AF40" s="16"/>
      <c r="AG40" s="16"/>
      <c r="AH40" s="16"/>
      <c r="AI40" s="16"/>
      <c r="AJ40" s="16"/>
      <c r="AK40" s="15">
        <f t="shared" si="9"/>
        <v>0</v>
      </c>
      <c r="AL40" s="14">
        <f>AK40*76</f>
        <v>0</v>
      </c>
    </row>
    <row r="41" spans="2:42" x14ac:dyDescent="0.3">
      <c r="B41" s="42" t="s">
        <v>22</v>
      </c>
      <c r="C41" s="16"/>
      <c r="D41" s="15">
        <f t="shared" si="5"/>
        <v>0</v>
      </c>
      <c r="E41" s="14">
        <f>D41*100</f>
        <v>0</v>
      </c>
      <c r="F41" s="16"/>
      <c r="G41" s="16"/>
      <c r="H41" s="16"/>
      <c r="I41" s="16"/>
      <c r="J41" s="16"/>
      <c r="K41" s="16"/>
      <c r="L41" s="15">
        <f t="shared" si="6"/>
        <v>0</v>
      </c>
      <c r="M41" s="14">
        <f>L41*100</f>
        <v>0</v>
      </c>
      <c r="N41" s="16">
        <v>11</v>
      </c>
      <c r="O41" s="16"/>
      <c r="P41" s="16"/>
      <c r="Q41" s="16"/>
      <c r="R41" s="16"/>
      <c r="S41" s="16"/>
      <c r="T41" s="15">
        <f t="shared" si="7"/>
        <v>11</v>
      </c>
      <c r="U41" s="14">
        <f>T41*100</f>
        <v>1100</v>
      </c>
      <c r="V41" s="16"/>
      <c r="W41" s="16"/>
      <c r="X41" s="16" t="s">
        <v>65</v>
      </c>
      <c r="Y41" s="16"/>
      <c r="Z41" s="16"/>
      <c r="AA41" s="16"/>
      <c r="AB41" s="15">
        <f t="shared" si="8"/>
        <v>0</v>
      </c>
      <c r="AC41" s="14">
        <f>AB41*100</f>
        <v>0</v>
      </c>
      <c r="AD41" s="16">
        <v>17</v>
      </c>
      <c r="AE41" s="16"/>
      <c r="AF41" s="16"/>
      <c r="AG41" s="16"/>
      <c r="AH41" s="16"/>
      <c r="AI41" s="16"/>
      <c r="AJ41" s="16"/>
      <c r="AK41" s="15">
        <f t="shared" si="9"/>
        <v>17</v>
      </c>
      <c r="AL41" s="14">
        <f>AK41*100</f>
        <v>1700</v>
      </c>
    </row>
    <row r="42" spans="2:42" x14ac:dyDescent="0.3">
      <c r="B42" s="42" t="s">
        <v>21</v>
      </c>
      <c r="C42" s="16"/>
      <c r="D42" s="15">
        <f t="shared" si="5"/>
        <v>0</v>
      </c>
      <c r="E42" s="14">
        <f>D42*100</f>
        <v>0</v>
      </c>
      <c r="F42" s="16"/>
      <c r="G42" s="16"/>
      <c r="H42" s="16"/>
      <c r="I42" s="16"/>
      <c r="J42" s="16"/>
      <c r="K42" s="16"/>
      <c r="L42" s="15">
        <f t="shared" si="6"/>
        <v>0</v>
      </c>
      <c r="M42" s="14">
        <f>L42*100</f>
        <v>0</v>
      </c>
      <c r="N42" s="16"/>
      <c r="O42" s="16"/>
      <c r="P42" s="16"/>
      <c r="Q42" s="16"/>
      <c r="R42" s="16"/>
      <c r="S42" s="16"/>
      <c r="T42" s="15">
        <f t="shared" si="7"/>
        <v>0</v>
      </c>
      <c r="U42" s="14">
        <f>T42*100</f>
        <v>0</v>
      </c>
      <c r="V42" s="16"/>
      <c r="W42" s="16"/>
      <c r="X42" s="16" t="s">
        <v>65</v>
      </c>
      <c r="Y42" s="16"/>
      <c r="Z42" s="16"/>
      <c r="AA42" s="16"/>
      <c r="AB42" s="15">
        <f t="shared" si="8"/>
        <v>0</v>
      </c>
      <c r="AC42" s="14">
        <f>AB42*100</f>
        <v>0</v>
      </c>
      <c r="AD42" s="16">
        <v>12</v>
      </c>
      <c r="AE42" s="16"/>
      <c r="AF42" s="16"/>
      <c r="AG42" s="16"/>
      <c r="AH42" s="16"/>
      <c r="AI42" s="16"/>
      <c r="AJ42" s="16"/>
      <c r="AK42" s="15">
        <f t="shared" si="9"/>
        <v>12</v>
      </c>
      <c r="AL42" s="14">
        <f>AK42*100</f>
        <v>1200</v>
      </c>
    </row>
    <row r="43" spans="2:42" x14ac:dyDescent="0.3">
      <c r="B43" s="42" t="s">
        <v>20</v>
      </c>
      <c r="C43" s="16"/>
      <c r="D43" s="15">
        <f t="shared" si="5"/>
        <v>0</v>
      </c>
      <c r="E43" s="14">
        <f>D43*78</f>
        <v>0</v>
      </c>
      <c r="F43" s="16"/>
      <c r="G43" s="16"/>
      <c r="H43" s="16"/>
      <c r="I43" s="16"/>
      <c r="J43" s="16"/>
      <c r="K43" s="16"/>
      <c r="L43" s="15">
        <f t="shared" si="6"/>
        <v>0</v>
      </c>
      <c r="M43" s="14">
        <f>L43*78</f>
        <v>0</v>
      </c>
      <c r="N43" s="16"/>
      <c r="O43" s="16"/>
      <c r="P43" s="16"/>
      <c r="Q43" s="16"/>
      <c r="R43" s="16"/>
      <c r="S43" s="16"/>
      <c r="T43" s="15">
        <f t="shared" si="7"/>
        <v>0</v>
      </c>
      <c r="U43" s="14">
        <f>T43*78</f>
        <v>0</v>
      </c>
      <c r="V43" s="16"/>
      <c r="W43" s="16"/>
      <c r="X43" s="16" t="s">
        <v>65</v>
      </c>
      <c r="Y43" s="16"/>
      <c r="Z43" s="16"/>
      <c r="AA43" s="16"/>
      <c r="AB43" s="15">
        <f t="shared" si="8"/>
        <v>0</v>
      </c>
      <c r="AC43" s="14">
        <f>AB43*78</f>
        <v>0</v>
      </c>
      <c r="AD43" s="16"/>
      <c r="AE43" s="16"/>
      <c r="AF43" s="16"/>
      <c r="AG43" s="16"/>
      <c r="AH43" s="16"/>
      <c r="AI43" s="16"/>
      <c r="AJ43" s="16"/>
      <c r="AK43" s="15">
        <f t="shared" si="9"/>
        <v>0</v>
      </c>
      <c r="AL43" s="14">
        <f>AK43*78</f>
        <v>0</v>
      </c>
    </row>
    <row r="44" spans="2:42" ht="15.6" x14ac:dyDescent="0.3">
      <c r="B44" s="17" t="s">
        <v>19</v>
      </c>
      <c r="C44" s="16"/>
      <c r="D44" s="15">
        <f t="shared" si="5"/>
        <v>0</v>
      </c>
      <c r="E44" s="14">
        <f>D44*94</f>
        <v>0</v>
      </c>
      <c r="F44" s="16"/>
      <c r="G44" s="16"/>
      <c r="H44" s="16"/>
      <c r="I44" s="16">
        <v>100</v>
      </c>
      <c r="J44" s="16"/>
      <c r="K44" s="16"/>
      <c r="L44" s="15">
        <f t="shared" si="6"/>
        <v>100</v>
      </c>
      <c r="M44" s="14">
        <f>L44*94</f>
        <v>9400</v>
      </c>
      <c r="N44" s="16">
        <v>20</v>
      </c>
      <c r="O44" s="16">
        <v>3</v>
      </c>
      <c r="P44" s="16"/>
      <c r="Q44" s="16"/>
      <c r="R44" s="16">
        <v>50</v>
      </c>
      <c r="S44" s="16"/>
      <c r="T44" s="15">
        <f t="shared" si="7"/>
        <v>73</v>
      </c>
      <c r="U44" s="14">
        <f>T44*94</f>
        <v>6862</v>
      </c>
      <c r="V44" s="16"/>
      <c r="W44" s="16">
        <v>60</v>
      </c>
      <c r="X44" s="16" t="s">
        <v>65</v>
      </c>
      <c r="Y44" s="16"/>
      <c r="Z44" s="16"/>
      <c r="AA44" s="16"/>
      <c r="AB44" s="15">
        <f t="shared" si="8"/>
        <v>60</v>
      </c>
      <c r="AC44" s="14">
        <f>AB44*96</f>
        <v>5760</v>
      </c>
      <c r="AD44" s="16"/>
      <c r="AE44" s="16">
        <v>101</v>
      </c>
      <c r="AF44" s="16"/>
      <c r="AG44" s="16"/>
      <c r="AH44" s="16"/>
      <c r="AI44" s="16"/>
      <c r="AJ44" s="16">
        <v>13</v>
      </c>
      <c r="AK44" s="15">
        <f t="shared" si="9"/>
        <v>114</v>
      </c>
      <c r="AL44" s="14">
        <f>AK44*100</f>
        <v>11400</v>
      </c>
      <c r="AN44" s="41"/>
      <c r="AO44" s="40"/>
    </row>
    <row r="45" spans="2:42" x14ac:dyDescent="0.3">
      <c r="B45" s="17" t="s">
        <v>18</v>
      </c>
      <c r="C45" s="16">
        <v>14</v>
      </c>
      <c r="D45" s="15">
        <f t="shared" si="5"/>
        <v>14</v>
      </c>
      <c r="E45" s="14">
        <f>D45*96</f>
        <v>1344</v>
      </c>
      <c r="F45" s="16"/>
      <c r="G45" s="16">
        <v>24</v>
      </c>
      <c r="H45" s="16"/>
      <c r="I45" s="16"/>
      <c r="J45" s="16"/>
      <c r="K45" s="16">
        <v>40</v>
      </c>
      <c r="L45" s="15">
        <f t="shared" si="6"/>
        <v>64</v>
      </c>
      <c r="M45" s="14">
        <f>L45*96</f>
        <v>6144</v>
      </c>
      <c r="N45" s="16"/>
      <c r="O45" s="16"/>
      <c r="P45" s="16"/>
      <c r="Q45" s="16"/>
      <c r="R45" s="16"/>
      <c r="S45" s="16"/>
      <c r="T45" s="15">
        <f t="shared" si="7"/>
        <v>0</v>
      </c>
      <c r="U45" s="14">
        <f>T45*96</f>
        <v>0</v>
      </c>
      <c r="V45" s="16"/>
      <c r="W45" s="16"/>
      <c r="X45" s="16" t="s">
        <v>65</v>
      </c>
      <c r="Y45" s="16">
        <v>103</v>
      </c>
      <c r="Z45" s="16">
        <v>25</v>
      </c>
      <c r="AA45" s="16"/>
      <c r="AB45" s="15">
        <f t="shared" si="8"/>
        <v>128</v>
      </c>
      <c r="AC45" s="14">
        <f>AB45*98</f>
        <v>12544</v>
      </c>
      <c r="AD45" s="16"/>
      <c r="AE45" s="16"/>
      <c r="AF45" s="16"/>
      <c r="AG45" s="16"/>
      <c r="AH45" s="16">
        <v>80</v>
      </c>
      <c r="AI45" s="16"/>
      <c r="AJ45" s="16"/>
      <c r="AK45" s="15">
        <f t="shared" si="9"/>
        <v>80</v>
      </c>
      <c r="AL45" s="14">
        <f>AK45*102</f>
        <v>8160</v>
      </c>
    </row>
    <row r="46" spans="2:42" x14ac:dyDescent="0.3">
      <c r="B46" s="17" t="s">
        <v>17</v>
      </c>
      <c r="C46" s="16"/>
      <c r="D46" s="15">
        <f t="shared" si="5"/>
        <v>0</v>
      </c>
      <c r="E46" s="14">
        <f>D46*94</f>
        <v>0</v>
      </c>
      <c r="F46" s="16">
        <v>4</v>
      </c>
      <c r="G46" s="16">
        <v>20</v>
      </c>
      <c r="H46" s="16"/>
      <c r="I46" s="16"/>
      <c r="J46" s="16"/>
      <c r="K46" s="16"/>
      <c r="L46" s="15">
        <f t="shared" si="6"/>
        <v>24</v>
      </c>
      <c r="M46" s="14">
        <f>L46*94</f>
        <v>2256</v>
      </c>
      <c r="N46" s="16">
        <v>21</v>
      </c>
      <c r="O46" s="16"/>
      <c r="P46" s="16"/>
      <c r="Q46" s="16">
        <v>6</v>
      </c>
      <c r="R46" s="16">
        <v>30</v>
      </c>
      <c r="S46" s="16">
        <v>10</v>
      </c>
      <c r="T46" s="15">
        <f t="shared" si="7"/>
        <v>67</v>
      </c>
      <c r="U46" s="14">
        <f>T46*94</f>
        <v>6298</v>
      </c>
      <c r="V46" s="16"/>
      <c r="W46" s="16">
        <v>7</v>
      </c>
      <c r="X46" s="16" t="s">
        <v>65</v>
      </c>
      <c r="Y46" s="16">
        <v>35</v>
      </c>
      <c r="Z46" s="16"/>
      <c r="AA46" s="16"/>
      <c r="AB46" s="15">
        <f t="shared" si="8"/>
        <v>42</v>
      </c>
      <c r="AC46" s="14">
        <f>AB46*96</f>
        <v>4032</v>
      </c>
      <c r="AD46" s="16"/>
      <c r="AE46" s="16">
        <v>28</v>
      </c>
      <c r="AF46" s="16"/>
      <c r="AG46" s="16">
        <v>20</v>
      </c>
      <c r="AH46" s="16"/>
      <c r="AI46" s="16"/>
      <c r="AJ46" s="16">
        <v>7</v>
      </c>
      <c r="AK46" s="15">
        <f t="shared" si="9"/>
        <v>55</v>
      </c>
      <c r="AL46" s="14">
        <f>AK46*100</f>
        <v>5500</v>
      </c>
    </row>
    <row r="47" spans="2:42" x14ac:dyDescent="0.3">
      <c r="B47" s="17" t="s">
        <v>14</v>
      </c>
      <c r="C47" s="16">
        <v>20</v>
      </c>
      <c r="D47" s="15">
        <f t="shared" si="5"/>
        <v>20</v>
      </c>
      <c r="E47" s="14">
        <f>D47*45</f>
        <v>900</v>
      </c>
      <c r="F47" s="16">
        <v>9</v>
      </c>
      <c r="G47" s="16">
        <v>6</v>
      </c>
      <c r="H47" s="16">
        <v>10</v>
      </c>
      <c r="I47" s="16">
        <v>30</v>
      </c>
      <c r="J47" s="16"/>
      <c r="K47" s="16">
        <v>20</v>
      </c>
      <c r="L47" s="15">
        <f t="shared" si="6"/>
        <v>75</v>
      </c>
      <c r="M47" s="14">
        <f>L47*45</f>
        <v>3375</v>
      </c>
      <c r="N47" s="16">
        <v>20</v>
      </c>
      <c r="O47" s="16">
        <v>91</v>
      </c>
      <c r="P47" s="16"/>
      <c r="Q47" s="16">
        <v>10</v>
      </c>
      <c r="R47" s="16"/>
      <c r="S47" s="16">
        <v>24</v>
      </c>
      <c r="T47" s="15">
        <f t="shared" si="7"/>
        <v>145</v>
      </c>
      <c r="U47" s="14">
        <f>T47*45</f>
        <v>6525</v>
      </c>
      <c r="V47" s="16">
        <v>20</v>
      </c>
      <c r="W47" s="16">
        <v>32</v>
      </c>
      <c r="X47" s="16"/>
      <c r="Y47" s="16">
        <v>61</v>
      </c>
      <c r="Z47" s="16">
        <v>20</v>
      </c>
      <c r="AA47" s="16">
        <v>12</v>
      </c>
      <c r="AB47" s="15">
        <f t="shared" si="8"/>
        <v>145</v>
      </c>
      <c r="AC47" s="14">
        <f>AB47*45</f>
        <v>6525</v>
      </c>
      <c r="AD47" s="16">
        <v>10</v>
      </c>
      <c r="AE47" s="16">
        <v>50</v>
      </c>
      <c r="AF47" s="16"/>
      <c r="AG47" s="16">
        <v>30</v>
      </c>
      <c r="AH47" s="16">
        <v>10</v>
      </c>
      <c r="AI47" s="16"/>
      <c r="AJ47" s="16">
        <v>32</v>
      </c>
      <c r="AK47" s="15">
        <f t="shared" si="9"/>
        <v>132</v>
      </c>
      <c r="AL47" s="14">
        <f>AK47*45</f>
        <v>5940</v>
      </c>
    </row>
    <row r="48" spans="2:42" ht="15.6" x14ac:dyDescent="0.3">
      <c r="C48" s="10"/>
      <c r="D48" s="39">
        <f>SUM(D20:D43)</f>
        <v>0</v>
      </c>
      <c r="E48" s="38">
        <f>SUM(E20:E43)</f>
        <v>0</v>
      </c>
      <c r="F48" s="10"/>
      <c r="G48" s="10"/>
      <c r="H48" s="10"/>
      <c r="I48" s="10"/>
      <c r="J48" s="10"/>
      <c r="K48" s="10"/>
      <c r="L48" s="39">
        <f>SUM(L20:L43)</f>
        <v>210</v>
      </c>
      <c r="M48" s="38">
        <f>SUM(M20:M43)</f>
        <v>16746</v>
      </c>
      <c r="N48" s="10"/>
      <c r="O48" s="10"/>
      <c r="P48" s="10"/>
      <c r="Q48" s="10"/>
      <c r="R48" s="10"/>
      <c r="S48" s="10"/>
      <c r="T48" s="39">
        <f>SUM(T20:T43)</f>
        <v>766</v>
      </c>
      <c r="U48" s="38">
        <f>SUM(U20:U43)</f>
        <v>53414</v>
      </c>
      <c r="V48" s="10"/>
      <c r="W48" s="10"/>
      <c r="X48" s="10"/>
      <c r="Y48" s="10"/>
      <c r="Z48" s="10"/>
      <c r="AA48" s="10"/>
      <c r="AB48" s="39">
        <f>SUM(AB20:AB43)</f>
        <v>333</v>
      </c>
      <c r="AC48" s="38">
        <f>SUM(AC20:AC43)</f>
        <v>26710</v>
      </c>
      <c r="AD48" s="10"/>
      <c r="AE48" s="10"/>
      <c r="AF48" s="10"/>
      <c r="AG48" s="10"/>
      <c r="AH48" s="10"/>
      <c r="AI48" s="10"/>
      <c r="AJ48" s="10"/>
      <c r="AK48" s="39">
        <f>SUM(AK20:AK43)</f>
        <v>300</v>
      </c>
      <c r="AL48" s="38">
        <f>SUM(AL20:AL43)</f>
        <v>21711</v>
      </c>
      <c r="AN48" s="35" t="s">
        <v>15</v>
      </c>
      <c r="AO48" s="37">
        <f>D51+L51+T51+AB51+AK51</f>
        <v>821</v>
      </c>
      <c r="AP48" s="30">
        <f>AO49/AO48</f>
        <v>97.076735688185138</v>
      </c>
    </row>
    <row r="49" spans="2:42" ht="15.6" x14ac:dyDescent="0.3">
      <c r="C49" s="32"/>
      <c r="D49" s="36"/>
      <c r="E49" s="11"/>
      <c r="F49" s="32"/>
      <c r="G49" s="32"/>
      <c r="H49" s="32"/>
      <c r="I49" s="32"/>
      <c r="J49" s="32"/>
      <c r="K49" s="32"/>
      <c r="L49" s="36"/>
      <c r="M49" s="11"/>
      <c r="N49" s="32"/>
      <c r="O49" s="32"/>
      <c r="P49" s="32"/>
      <c r="Q49" s="32"/>
      <c r="R49" s="32"/>
      <c r="S49" s="32"/>
      <c r="T49" s="36"/>
      <c r="U49" s="11"/>
      <c r="V49" s="32"/>
      <c r="W49" s="32"/>
      <c r="X49" s="32"/>
      <c r="Y49" s="32"/>
      <c r="Z49" s="32"/>
      <c r="AA49" s="32"/>
      <c r="AB49" s="36"/>
      <c r="AC49" s="11"/>
      <c r="AD49" s="32"/>
      <c r="AE49" s="32"/>
      <c r="AF49" s="32"/>
      <c r="AG49" s="32"/>
      <c r="AH49" s="32"/>
      <c r="AI49" s="32"/>
      <c r="AJ49" s="32"/>
      <c r="AK49" s="36"/>
      <c r="AL49" s="11"/>
      <c r="AN49" s="35" t="s">
        <v>3</v>
      </c>
      <c r="AO49" s="34">
        <f>E51+M51+AC51+U51+AL51</f>
        <v>79700</v>
      </c>
    </row>
    <row r="50" spans="2:42" ht="15.6" x14ac:dyDescent="0.3">
      <c r="B50" s="29" t="s">
        <v>13</v>
      </c>
      <c r="C50" s="32"/>
      <c r="D50" s="4">
        <f>D48+D19</f>
        <v>76</v>
      </c>
      <c r="E50" s="28">
        <f>E48+E19</f>
        <v>5865</v>
      </c>
      <c r="F50" s="11">
        <f>E50/D50</f>
        <v>77.171052631578945</v>
      </c>
      <c r="G50" s="32"/>
      <c r="H50" s="32"/>
      <c r="I50" s="32"/>
      <c r="J50" s="32"/>
      <c r="K50" s="5" t="s">
        <v>16</v>
      </c>
      <c r="L50" s="4">
        <f>L48+L19</f>
        <v>1382</v>
      </c>
      <c r="M50" s="28">
        <f>M48+M19</f>
        <v>100178</v>
      </c>
      <c r="N50" s="11">
        <f>M50/L50</f>
        <v>72.487698986975403</v>
      </c>
      <c r="O50" s="32"/>
      <c r="P50" s="32"/>
      <c r="Q50" s="32"/>
      <c r="R50" s="32"/>
      <c r="S50" s="32"/>
      <c r="T50" s="4">
        <f>T48+T19</f>
        <v>1733</v>
      </c>
      <c r="U50" s="28">
        <f>U48+U19</f>
        <v>126069</v>
      </c>
      <c r="V50" s="11">
        <f>U50/T50</f>
        <v>72.746105020196197</v>
      </c>
      <c r="W50" s="32"/>
      <c r="X50" s="32"/>
      <c r="Y50" s="32"/>
      <c r="Z50" s="32"/>
      <c r="AA50" s="32"/>
      <c r="AB50" s="4">
        <f>AB48+AB19</f>
        <v>1265</v>
      </c>
      <c r="AC50" s="28">
        <f>AC48+AC19</f>
        <v>94932</v>
      </c>
      <c r="AD50" s="11">
        <f>AC50/AB50</f>
        <v>75.045059288537544</v>
      </c>
      <c r="AE50" s="32"/>
      <c r="AF50" s="32"/>
      <c r="AG50" s="32"/>
      <c r="AH50" s="32"/>
      <c r="AI50" s="32"/>
      <c r="AJ50" s="32"/>
      <c r="AK50" s="4">
        <f>AK48+AK19</f>
        <v>1706</v>
      </c>
      <c r="AL50" s="28">
        <f>AL48+AL19</f>
        <v>126659</v>
      </c>
    </row>
    <row r="51" spans="2:42" ht="15.6" x14ac:dyDescent="0.3">
      <c r="B51" s="29" t="s">
        <v>15</v>
      </c>
      <c r="C51" s="32"/>
      <c r="D51" s="4">
        <f>SUM(D44:D46)</f>
        <v>14</v>
      </c>
      <c r="E51" s="28">
        <f>SUM(E44:E46)</f>
        <v>1344</v>
      </c>
      <c r="F51" s="32"/>
      <c r="G51" s="32"/>
      <c r="H51" s="32"/>
      <c r="I51" s="32"/>
      <c r="J51" s="32"/>
      <c r="K51" s="33"/>
      <c r="L51" s="4">
        <f>SUM(L44:L46)</f>
        <v>188</v>
      </c>
      <c r="M51" s="28">
        <f>SUM(M44:M46)</f>
        <v>17800</v>
      </c>
      <c r="N51" s="32"/>
      <c r="O51" s="32"/>
      <c r="P51" s="32"/>
      <c r="Q51" s="32"/>
      <c r="R51" s="32"/>
      <c r="S51" s="32"/>
      <c r="T51" s="4">
        <f>SUM(T44:T46)</f>
        <v>140</v>
      </c>
      <c r="U51" s="28">
        <f>SUM(U44:U46)</f>
        <v>13160</v>
      </c>
      <c r="V51" s="32"/>
      <c r="W51" s="32"/>
      <c r="X51" s="32"/>
      <c r="Y51" s="32"/>
      <c r="Z51" s="32"/>
      <c r="AA51" s="32"/>
      <c r="AB51" s="4">
        <f>SUM(AB44:AB46)</f>
        <v>230</v>
      </c>
      <c r="AC51" s="28">
        <f>SUM(AC44:AC46)</f>
        <v>22336</v>
      </c>
      <c r="AD51" s="32"/>
      <c r="AE51" s="32"/>
      <c r="AF51" s="32"/>
      <c r="AG51" s="32"/>
      <c r="AH51" s="32"/>
      <c r="AI51" s="32"/>
      <c r="AJ51" s="32"/>
      <c r="AK51" s="4">
        <f>SUM(AK44:AK46)</f>
        <v>249</v>
      </c>
      <c r="AL51" s="28">
        <f>SUM(AL44:AL46)</f>
        <v>25060</v>
      </c>
      <c r="AN51" s="27" t="s">
        <v>14</v>
      </c>
      <c r="AO51" s="31">
        <f>D52+L52+AB52+T52+AK52</f>
        <v>517</v>
      </c>
      <c r="AP51" s="30">
        <f>AO52/AO51</f>
        <v>45</v>
      </c>
    </row>
    <row r="52" spans="2:42" ht="15.6" x14ac:dyDescent="0.3">
      <c r="B52" s="29" t="s">
        <v>14</v>
      </c>
      <c r="D52" s="4">
        <f>D47</f>
        <v>20</v>
      </c>
      <c r="E52" s="28">
        <f>E47</f>
        <v>900</v>
      </c>
      <c r="L52" s="4">
        <f>L47</f>
        <v>75</v>
      </c>
      <c r="M52" s="28">
        <f>M47</f>
        <v>3375</v>
      </c>
      <c r="T52" s="4">
        <f>T47</f>
        <v>145</v>
      </c>
      <c r="U52" s="28">
        <f>U47</f>
        <v>6525</v>
      </c>
      <c r="AB52" s="4">
        <f>AB47</f>
        <v>145</v>
      </c>
      <c r="AC52" s="28">
        <f>AC47</f>
        <v>6525</v>
      </c>
      <c r="AK52" s="4">
        <f>AK47</f>
        <v>132</v>
      </c>
      <c r="AL52" s="28">
        <f>AL47</f>
        <v>5940</v>
      </c>
      <c r="AN52" s="27" t="s">
        <v>3</v>
      </c>
      <c r="AO52" s="26">
        <f>E52+AC52+U52+M52+AL52</f>
        <v>23265</v>
      </c>
    </row>
    <row r="55" spans="2:42" s="22" customFormat="1" ht="13.8" customHeight="1" x14ac:dyDescent="0.3">
      <c r="B55" s="25" t="s">
        <v>13</v>
      </c>
      <c r="C55" s="24">
        <v>45717</v>
      </c>
      <c r="D55" s="23" t="s">
        <v>12</v>
      </c>
      <c r="E55" s="23" t="s">
        <v>11</v>
      </c>
      <c r="F55" s="24">
        <v>45719</v>
      </c>
      <c r="G55" s="24">
        <v>45720</v>
      </c>
      <c r="H55" s="24">
        <v>45721</v>
      </c>
      <c r="I55" s="24">
        <v>45722</v>
      </c>
      <c r="J55" s="24">
        <v>45723</v>
      </c>
      <c r="K55" s="24">
        <v>45724</v>
      </c>
      <c r="L55" s="23" t="s">
        <v>12</v>
      </c>
      <c r="M55" s="23" t="s">
        <v>11</v>
      </c>
      <c r="N55" s="24">
        <v>45726</v>
      </c>
      <c r="O55" s="24">
        <v>45727</v>
      </c>
      <c r="P55" s="24">
        <v>45728</v>
      </c>
      <c r="Q55" s="24">
        <v>45729</v>
      </c>
      <c r="R55" s="24">
        <v>45730</v>
      </c>
      <c r="S55" s="24">
        <v>45731</v>
      </c>
      <c r="T55" s="23" t="s">
        <v>12</v>
      </c>
      <c r="U55" s="23" t="s">
        <v>11</v>
      </c>
      <c r="V55" s="24">
        <v>45733</v>
      </c>
      <c r="W55" s="24">
        <v>45734</v>
      </c>
      <c r="X55" s="24">
        <v>45735</v>
      </c>
      <c r="Y55" s="24">
        <v>45736</v>
      </c>
      <c r="Z55" s="24">
        <v>45737</v>
      </c>
      <c r="AA55" s="24">
        <v>45738</v>
      </c>
      <c r="AB55" s="23" t="s">
        <v>12</v>
      </c>
      <c r="AC55" s="23" t="s">
        <v>11</v>
      </c>
      <c r="AD55" s="24">
        <v>45740</v>
      </c>
      <c r="AE55" s="24">
        <v>45741</v>
      </c>
      <c r="AF55" s="24">
        <v>45742</v>
      </c>
      <c r="AG55" s="24">
        <v>45743</v>
      </c>
      <c r="AH55" s="24">
        <v>45744</v>
      </c>
      <c r="AI55" s="24">
        <v>45745</v>
      </c>
      <c r="AJ55" s="24">
        <v>45745</v>
      </c>
      <c r="AK55" s="23" t="s">
        <v>12</v>
      </c>
      <c r="AL55" s="23" t="s">
        <v>11</v>
      </c>
    </row>
    <row r="56" spans="2:42" ht="15" customHeight="1" x14ac:dyDescent="0.3">
      <c r="B56" s="17" t="s">
        <v>10</v>
      </c>
      <c r="C56" s="16">
        <v>150</v>
      </c>
      <c r="D56" s="15">
        <f t="shared" ref="D56:D61" si="10">SUM(C56:C56)</f>
        <v>150</v>
      </c>
      <c r="E56" s="14">
        <f>D56*96</f>
        <v>14400</v>
      </c>
      <c r="F56" s="16">
        <v>88</v>
      </c>
      <c r="G56" s="16">
        <v>99</v>
      </c>
      <c r="H56" s="16">
        <v>246</v>
      </c>
      <c r="I56" s="16">
        <v>255</v>
      </c>
      <c r="J56" s="16">
        <v>60</v>
      </c>
      <c r="K56" s="16">
        <v>423</v>
      </c>
      <c r="L56" s="15">
        <f t="shared" ref="L56:L61" si="11">SUM(F56:K56)</f>
        <v>1171</v>
      </c>
      <c r="M56" s="14">
        <f>L56*96</f>
        <v>112416</v>
      </c>
      <c r="N56" s="16">
        <v>278</v>
      </c>
      <c r="O56" s="16">
        <v>66</v>
      </c>
      <c r="P56" s="16">
        <v>115</v>
      </c>
      <c r="Q56" s="16">
        <v>234</v>
      </c>
      <c r="R56" s="16">
        <v>200</v>
      </c>
      <c r="S56" s="16">
        <v>193</v>
      </c>
      <c r="T56" s="15">
        <f t="shared" ref="T56:T61" si="12">SUM(N56:S56)</f>
        <v>1086</v>
      </c>
      <c r="U56" s="14">
        <f>T56*96</f>
        <v>104256</v>
      </c>
      <c r="V56" s="16">
        <v>140</v>
      </c>
      <c r="W56" s="16">
        <v>138</v>
      </c>
      <c r="X56" s="16">
        <v>50</v>
      </c>
      <c r="Y56" s="16">
        <v>229</v>
      </c>
      <c r="Z56" s="16">
        <v>100</v>
      </c>
      <c r="AA56" s="16">
        <v>110</v>
      </c>
      <c r="AB56" s="15">
        <f t="shared" ref="AB56:AB61" si="13">SUM(V56:AA56)</f>
        <v>767</v>
      </c>
      <c r="AC56" s="14">
        <f>AB56*98</f>
        <v>75166</v>
      </c>
      <c r="AD56" s="16">
        <v>280</v>
      </c>
      <c r="AE56" s="16">
        <v>227</v>
      </c>
      <c r="AF56" s="16" t="s">
        <v>65</v>
      </c>
      <c r="AG56" s="16">
        <v>150</v>
      </c>
      <c r="AH56" s="16">
        <v>205</v>
      </c>
      <c r="AI56" s="16">
        <v>30</v>
      </c>
      <c r="AJ56" s="16">
        <v>218</v>
      </c>
      <c r="AK56" s="15">
        <f t="shared" ref="AK56:AK61" si="14">SUM(AD56:AJ56)</f>
        <v>1110</v>
      </c>
      <c r="AL56" s="14">
        <f>AK56*102</f>
        <v>113220</v>
      </c>
    </row>
    <row r="57" spans="2:42" x14ac:dyDescent="0.3">
      <c r="B57" s="17" t="s">
        <v>9</v>
      </c>
      <c r="C57" s="16">
        <v>150</v>
      </c>
      <c r="D57" s="15">
        <f t="shared" si="10"/>
        <v>150</v>
      </c>
      <c r="E57" s="14">
        <f>D57*94</f>
        <v>14100</v>
      </c>
      <c r="F57" s="16">
        <v>86</v>
      </c>
      <c r="G57" s="16">
        <v>187</v>
      </c>
      <c r="H57" s="16">
        <v>211</v>
      </c>
      <c r="I57" s="16">
        <v>81</v>
      </c>
      <c r="J57" s="16">
        <v>155</v>
      </c>
      <c r="K57" s="16">
        <v>145</v>
      </c>
      <c r="L57" s="15">
        <f t="shared" si="11"/>
        <v>865</v>
      </c>
      <c r="M57" s="14">
        <f>L57*94</f>
        <v>81310</v>
      </c>
      <c r="N57" s="16">
        <v>182</v>
      </c>
      <c r="O57" s="16">
        <v>74</v>
      </c>
      <c r="P57" s="16">
        <v>190</v>
      </c>
      <c r="Q57" s="16">
        <v>170</v>
      </c>
      <c r="R57" s="16">
        <v>270</v>
      </c>
      <c r="S57" s="16">
        <v>73</v>
      </c>
      <c r="T57" s="15">
        <f t="shared" si="12"/>
        <v>959</v>
      </c>
      <c r="U57" s="14">
        <f>T57*94</f>
        <v>90146</v>
      </c>
      <c r="V57" s="16">
        <v>100</v>
      </c>
      <c r="W57" s="16">
        <v>171</v>
      </c>
      <c r="X57" s="16">
        <v>50</v>
      </c>
      <c r="Y57" s="16">
        <v>158</v>
      </c>
      <c r="Z57" s="16">
        <v>110</v>
      </c>
      <c r="AA57" s="16">
        <v>105</v>
      </c>
      <c r="AB57" s="15">
        <f t="shared" si="13"/>
        <v>694</v>
      </c>
      <c r="AC57" s="14">
        <f>AB57*96</f>
        <v>66624</v>
      </c>
      <c r="AD57" s="16">
        <v>190</v>
      </c>
      <c r="AE57" s="16">
        <v>205</v>
      </c>
      <c r="AF57" s="16" t="s">
        <v>65</v>
      </c>
      <c r="AG57" s="16">
        <v>125</v>
      </c>
      <c r="AH57" s="16">
        <v>190</v>
      </c>
      <c r="AI57" s="16">
        <v>30</v>
      </c>
      <c r="AJ57" s="16">
        <v>209</v>
      </c>
      <c r="AK57" s="15">
        <f t="shared" si="14"/>
        <v>949</v>
      </c>
      <c r="AL57" s="14">
        <f>AK57*100</f>
        <v>94900</v>
      </c>
    </row>
    <row r="58" spans="2:42" ht="15.6" x14ac:dyDescent="0.3">
      <c r="B58" s="17" t="s">
        <v>8</v>
      </c>
      <c r="C58" s="16">
        <v>30</v>
      </c>
      <c r="D58" s="15">
        <f t="shared" si="10"/>
        <v>30</v>
      </c>
      <c r="E58" s="14">
        <f>D58*96</f>
        <v>2880</v>
      </c>
      <c r="F58" s="16" t="s">
        <v>67</v>
      </c>
      <c r="G58" s="16">
        <v>21</v>
      </c>
      <c r="H58" s="16">
        <v>16</v>
      </c>
      <c r="I58" s="16">
        <v>125</v>
      </c>
      <c r="J58" s="16">
        <v>20</v>
      </c>
      <c r="K58" s="16">
        <v>63</v>
      </c>
      <c r="L58" s="15">
        <f t="shared" si="11"/>
        <v>245</v>
      </c>
      <c r="M58" s="14">
        <f>L58*96</f>
        <v>23520</v>
      </c>
      <c r="N58" s="16">
        <v>27</v>
      </c>
      <c r="O58" s="16">
        <v>72</v>
      </c>
      <c r="P58" s="16">
        <v>25</v>
      </c>
      <c r="Q58" s="16">
        <v>30</v>
      </c>
      <c r="R58" s="16">
        <v>50</v>
      </c>
      <c r="S58" s="16">
        <v>41</v>
      </c>
      <c r="T58" s="15">
        <f t="shared" si="12"/>
        <v>245</v>
      </c>
      <c r="U58" s="14">
        <f>T58*96</f>
        <v>23520</v>
      </c>
      <c r="V58" s="16">
        <v>45</v>
      </c>
      <c r="W58" s="16">
        <v>34</v>
      </c>
      <c r="X58" s="16">
        <v>7</v>
      </c>
      <c r="Y58" s="16">
        <v>77</v>
      </c>
      <c r="Z58" s="16">
        <v>35</v>
      </c>
      <c r="AA58" s="16">
        <v>26</v>
      </c>
      <c r="AB58" s="15">
        <f t="shared" si="13"/>
        <v>224</v>
      </c>
      <c r="AC58" s="14">
        <f>AB58*98</f>
        <v>21952</v>
      </c>
      <c r="AD58" s="16">
        <v>40</v>
      </c>
      <c r="AE58" s="16">
        <v>51</v>
      </c>
      <c r="AF58" s="16" t="s">
        <v>65</v>
      </c>
      <c r="AG58" s="16">
        <v>29</v>
      </c>
      <c r="AH58" s="16">
        <v>66</v>
      </c>
      <c r="AI58" s="16">
        <v>7</v>
      </c>
      <c r="AJ58" s="16">
        <v>46</v>
      </c>
      <c r="AK58" s="15">
        <f t="shared" si="14"/>
        <v>239</v>
      </c>
      <c r="AL58" s="14">
        <f>AK58*102</f>
        <v>24378</v>
      </c>
      <c r="AN58" s="19" t="s">
        <v>7</v>
      </c>
      <c r="AO58" s="21">
        <f>D64+L64+T64+AB64+AK64</f>
        <v>9328</v>
      </c>
      <c r="AP58" s="11">
        <f>AO59/AO58</f>
        <v>96.35495283018868</v>
      </c>
    </row>
    <row r="59" spans="2:42" ht="15.6" x14ac:dyDescent="0.3">
      <c r="B59" s="17" t="s">
        <v>6</v>
      </c>
      <c r="C59" s="16"/>
      <c r="D59" s="15">
        <f t="shared" si="10"/>
        <v>0</v>
      </c>
      <c r="E59" s="14">
        <f>D59*80</f>
        <v>0</v>
      </c>
      <c r="F59" s="16">
        <v>3</v>
      </c>
      <c r="G59" s="16">
        <v>1</v>
      </c>
      <c r="H59" s="16">
        <v>2</v>
      </c>
      <c r="I59" s="16" t="s">
        <v>65</v>
      </c>
      <c r="J59" s="16">
        <v>5</v>
      </c>
      <c r="K59" s="16">
        <v>2</v>
      </c>
      <c r="L59" s="15">
        <f t="shared" si="11"/>
        <v>13</v>
      </c>
      <c r="M59" s="14">
        <f>L59*80</f>
        <v>1040</v>
      </c>
      <c r="N59" s="16">
        <v>3</v>
      </c>
      <c r="O59" s="16">
        <v>180</v>
      </c>
      <c r="P59" s="16"/>
      <c r="Q59" s="16"/>
      <c r="R59" s="16"/>
      <c r="S59" s="16">
        <v>40</v>
      </c>
      <c r="T59" s="15">
        <f t="shared" si="12"/>
        <v>223</v>
      </c>
      <c r="U59" s="14">
        <f>T59*80</f>
        <v>17840</v>
      </c>
      <c r="V59" s="16">
        <v>100</v>
      </c>
      <c r="W59" s="16">
        <v>2</v>
      </c>
      <c r="X59" s="16"/>
      <c r="Y59" s="16" t="s">
        <v>65</v>
      </c>
      <c r="Z59" s="16">
        <v>80</v>
      </c>
      <c r="AA59" s="16">
        <v>1</v>
      </c>
      <c r="AB59" s="15">
        <f t="shared" si="13"/>
        <v>183</v>
      </c>
      <c r="AC59" s="14">
        <f>AB59*82</f>
        <v>15006</v>
      </c>
      <c r="AD59" s="16">
        <v>5</v>
      </c>
      <c r="AE59" s="16">
        <v>2</v>
      </c>
      <c r="AF59" s="16" t="s">
        <v>65</v>
      </c>
      <c r="AG59" s="16">
        <v>6</v>
      </c>
      <c r="AH59" s="16">
        <v>9</v>
      </c>
      <c r="AI59" s="16">
        <v>3</v>
      </c>
      <c r="AJ59" s="16"/>
      <c r="AK59" s="15">
        <f t="shared" si="14"/>
        <v>25</v>
      </c>
      <c r="AL59" s="14">
        <f>AK59*85</f>
        <v>2125</v>
      </c>
      <c r="AN59" s="19" t="s">
        <v>3</v>
      </c>
      <c r="AO59" s="18">
        <f>E64+M64+U64+AC64+AL64</f>
        <v>898799</v>
      </c>
    </row>
    <row r="60" spans="2:42" x14ac:dyDescent="0.3">
      <c r="B60" s="17" t="s">
        <v>4</v>
      </c>
      <c r="C60" s="16">
        <v>52</v>
      </c>
      <c r="D60" s="15">
        <f t="shared" si="10"/>
        <v>52</v>
      </c>
      <c r="E60" s="14">
        <f>D60*100</f>
        <v>5200</v>
      </c>
      <c r="F60" s="16">
        <v>2</v>
      </c>
      <c r="G60" s="16">
        <v>14</v>
      </c>
      <c r="H60" s="16">
        <v>60</v>
      </c>
      <c r="I60" s="16">
        <v>85</v>
      </c>
      <c r="J60" s="16">
        <v>2</v>
      </c>
      <c r="K60" s="16">
        <v>35</v>
      </c>
      <c r="L60" s="15">
        <f t="shared" si="11"/>
        <v>198</v>
      </c>
      <c r="M60" s="14">
        <f>L60*100</f>
        <v>19800</v>
      </c>
      <c r="N60" s="16">
        <v>34</v>
      </c>
      <c r="O60" s="16">
        <v>53</v>
      </c>
      <c r="P60" s="16"/>
      <c r="Q60" s="16">
        <v>50</v>
      </c>
      <c r="R60" s="16">
        <v>200</v>
      </c>
      <c r="S60" s="16">
        <v>28</v>
      </c>
      <c r="T60" s="15">
        <f t="shared" si="12"/>
        <v>365</v>
      </c>
      <c r="U60" s="14">
        <f>T60*100</f>
        <v>36500</v>
      </c>
      <c r="V60" s="16"/>
      <c r="W60" s="16">
        <v>233</v>
      </c>
      <c r="X60" s="16">
        <v>20</v>
      </c>
      <c r="Y60" s="16">
        <v>23</v>
      </c>
      <c r="Z60" s="16">
        <v>95</v>
      </c>
      <c r="AA60" s="16">
        <v>33</v>
      </c>
      <c r="AB60" s="15">
        <f t="shared" si="13"/>
        <v>404</v>
      </c>
      <c r="AC60" s="14">
        <f>AB60*100</f>
        <v>40400</v>
      </c>
      <c r="AD60" s="16">
        <v>90</v>
      </c>
      <c r="AE60" s="16">
        <v>36</v>
      </c>
      <c r="AF60" s="16">
        <v>80</v>
      </c>
      <c r="AG60" s="16"/>
      <c r="AH60" s="16">
        <v>50</v>
      </c>
      <c r="AI60" s="16"/>
      <c r="AJ60" s="16">
        <v>3</v>
      </c>
      <c r="AK60" s="15">
        <f t="shared" si="14"/>
        <v>259</v>
      </c>
      <c r="AL60" s="14">
        <f>AK60*100</f>
        <v>25900</v>
      </c>
    </row>
    <row r="61" spans="2:42" ht="15.6" x14ac:dyDescent="0.3">
      <c r="B61" s="17" t="s">
        <v>5</v>
      </c>
      <c r="C61" s="16"/>
      <c r="D61" s="15">
        <f t="shared" si="10"/>
        <v>0</v>
      </c>
      <c r="E61" s="14">
        <f>D61*98</f>
        <v>0</v>
      </c>
      <c r="F61" s="16"/>
      <c r="G61" s="16"/>
      <c r="H61" s="16">
        <v>2</v>
      </c>
      <c r="I61" s="16"/>
      <c r="J61" s="16"/>
      <c r="K61" s="16"/>
      <c r="L61" s="15">
        <f t="shared" si="11"/>
        <v>2</v>
      </c>
      <c r="M61" s="14">
        <f>L61*98</f>
        <v>196</v>
      </c>
      <c r="N61" s="16"/>
      <c r="O61" s="16">
        <v>30</v>
      </c>
      <c r="P61" s="16"/>
      <c r="Q61" s="16"/>
      <c r="R61" s="16"/>
      <c r="S61" s="16"/>
      <c r="T61" s="15">
        <f t="shared" si="12"/>
        <v>30</v>
      </c>
      <c r="U61" s="14">
        <f>T61*98</f>
        <v>2940</v>
      </c>
      <c r="V61" s="16">
        <v>60</v>
      </c>
      <c r="W61" s="16"/>
      <c r="X61" s="16"/>
      <c r="Y61" s="16"/>
      <c r="Z61" s="16"/>
      <c r="AA61" s="16"/>
      <c r="AB61" s="15">
        <f t="shared" si="13"/>
        <v>60</v>
      </c>
      <c r="AC61" s="14">
        <f>AB61*98</f>
        <v>5880</v>
      </c>
      <c r="AD61" s="16">
        <v>5</v>
      </c>
      <c r="AE61" s="16"/>
      <c r="AF61" s="16"/>
      <c r="AG61" s="16"/>
      <c r="AH61" s="16"/>
      <c r="AI61" s="16"/>
      <c r="AJ61" s="16"/>
      <c r="AK61" s="15">
        <f t="shared" si="14"/>
        <v>5</v>
      </c>
      <c r="AL61" s="14">
        <f>AK61*110</f>
        <v>550</v>
      </c>
      <c r="AN61" s="13" t="s">
        <v>4</v>
      </c>
      <c r="AO61" s="12">
        <f>D60+L60+T60+AB60+AK60</f>
        <v>1278</v>
      </c>
      <c r="AP61" s="11">
        <f>AO62/AO61</f>
        <v>100</v>
      </c>
    </row>
    <row r="62" spans="2:42" ht="15.6" x14ac:dyDescent="0.3">
      <c r="C62" s="10"/>
      <c r="D62" s="9">
        <f>SUM(D56:D61)</f>
        <v>382</v>
      </c>
      <c r="E62" s="8">
        <f>SUM(E56:E61)</f>
        <v>36580</v>
      </c>
      <c r="F62" s="10"/>
      <c r="G62" s="10"/>
      <c r="H62" s="10"/>
      <c r="I62" s="10"/>
      <c r="J62" s="10"/>
      <c r="K62" s="10"/>
      <c r="L62" s="9">
        <f>SUM(L56:L61)</f>
        <v>2494</v>
      </c>
      <c r="M62" s="8">
        <f>SUM(M56:M61)</f>
        <v>238282</v>
      </c>
      <c r="N62" s="10"/>
      <c r="O62" s="10"/>
      <c r="P62" s="10"/>
      <c r="Q62" s="10"/>
      <c r="R62" s="10"/>
      <c r="S62" s="10"/>
      <c r="T62" s="9">
        <f>SUM(T56:T61)</f>
        <v>2908</v>
      </c>
      <c r="U62" s="8">
        <f>SUM(U56:U61)</f>
        <v>275202</v>
      </c>
      <c r="V62" s="10"/>
      <c r="W62" s="10"/>
      <c r="X62" s="10"/>
      <c r="Y62" s="10"/>
      <c r="Z62" s="10"/>
      <c r="AA62" s="10"/>
      <c r="AB62" s="9">
        <f>SUM(AB56:AB61)</f>
        <v>2332</v>
      </c>
      <c r="AC62" s="8">
        <f>SUM(AC56:AC61)</f>
        <v>225028</v>
      </c>
      <c r="AD62" s="10"/>
      <c r="AE62" s="10"/>
      <c r="AF62" s="10"/>
      <c r="AG62" s="10"/>
      <c r="AH62" s="10"/>
      <c r="AI62" s="10"/>
      <c r="AJ62" s="10"/>
      <c r="AK62" s="9">
        <f>SUM(AK56:AK61)</f>
        <v>2587</v>
      </c>
      <c r="AL62" s="8">
        <f>SUM(AL56:AL61)</f>
        <v>261073</v>
      </c>
      <c r="AN62" s="7" t="s">
        <v>3</v>
      </c>
      <c r="AO62" s="6">
        <f>E60+M60+U60+AC60+AL60</f>
        <v>127800</v>
      </c>
    </row>
    <row r="64" spans="2:42" ht="15.6" x14ac:dyDescent="0.3">
      <c r="C64" s="5" t="s">
        <v>2</v>
      </c>
      <c r="D64" s="4">
        <f>D56+D57+D58+D59</f>
        <v>330</v>
      </c>
      <c r="E64" s="3">
        <f>E56+E57+E58+E59</f>
        <v>31380</v>
      </c>
      <c r="L64" s="4">
        <f>L56+L57+L58+L59</f>
        <v>2294</v>
      </c>
      <c r="M64" s="3">
        <f>M56+M57+M58+M59</f>
        <v>218286</v>
      </c>
      <c r="T64" s="4">
        <f>T56+T57+T58+T59</f>
        <v>2513</v>
      </c>
      <c r="U64" s="3">
        <f>U56+U57+U58+U59</f>
        <v>235762</v>
      </c>
      <c r="AB64" s="4">
        <f>AB56+AB57+AB58+AB59</f>
        <v>1868</v>
      </c>
      <c r="AC64" s="3">
        <f>AC56+AC57+AC58+AC59</f>
        <v>178748</v>
      </c>
      <c r="AK64" s="4">
        <f>AK56+AK57+AK58+AK59</f>
        <v>2323</v>
      </c>
      <c r="AL64" s="3">
        <f>AL56+AL57+AL58+AL59</f>
        <v>234623</v>
      </c>
    </row>
    <row r="66" spans="40:41" x14ac:dyDescent="0.3">
      <c r="AN66" s="2" t="s">
        <v>1</v>
      </c>
      <c r="AO66" s="1">
        <f>AO62+AO59+AO20</f>
        <v>1480302</v>
      </c>
    </row>
    <row r="1964" spans="13:13" x14ac:dyDescent="0.3">
      <c r="M1964" t="s">
        <v>0</v>
      </c>
    </row>
  </sheetData>
  <mergeCells count="2">
    <mergeCell ref="AS3:AT3"/>
    <mergeCell ref="AN24:AO24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7183-ACFD-49EE-A73F-9798F0C00DAA}">
  <dimension ref="B3:AT1964"/>
  <sheetViews>
    <sheetView zoomScale="102" zoomScaleNormal="102" workbookViewId="0">
      <pane xSplit="2" ySplit="3" topLeftCell="AI13" activePane="bottomRight" state="frozen"/>
      <selection pane="topRight" activeCell="C1" sqref="C1"/>
      <selection pane="bottomLeft" activeCell="A4" sqref="A4"/>
      <selection pane="bottomRight" activeCell="AP27" sqref="AP27"/>
    </sheetView>
  </sheetViews>
  <sheetFormatPr baseColWidth="10" defaultRowHeight="14.4" x14ac:dyDescent="0.3"/>
  <cols>
    <col min="1" max="1" width="5.6640625" customWidth="1"/>
    <col min="2" max="2" width="18.33203125" customWidth="1"/>
    <col min="8" max="8" width="13.33203125" customWidth="1"/>
    <col min="9" max="9" width="16" customWidth="1"/>
    <col min="16" max="16" width="13.33203125" customWidth="1"/>
    <col min="17" max="17" width="16.109375" customWidth="1"/>
    <col min="24" max="24" width="13.33203125" customWidth="1"/>
    <col min="25" max="25" width="16.109375" customWidth="1"/>
    <col min="32" max="32" width="13.33203125" customWidth="1"/>
    <col min="33" max="33" width="16.109375" customWidth="1"/>
    <col min="37" max="37" width="13.33203125" customWidth="1"/>
    <col min="38" max="38" width="20.33203125" customWidth="1"/>
    <col min="39" max="39" width="6.5546875" customWidth="1"/>
    <col min="40" max="40" width="15.33203125" customWidth="1"/>
    <col min="41" max="41" width="21.5546875" customWidth="1"/>
    <col min="42" max="42" width="13.88671875" customWidth="1"/>
    <col min="44" max="44" width="9.77734375" customWidth="1"/>
    <col min="45" max="45" width="17.109375" customWidth="1"/>
    <col min="46" max="46" width="16.77734375" customWidth="1"/>
  </cols>
  <sheetData>
    <row r="3" spans="2:46" s="22" customFormat="1" ht="13.8" customHeight="1" x14ac:dyDescent="0.3">
      <c r="B3" s="25" t="s">
        <v>13</v>
      </c>
      <c r="C3" s="24">
        <v>45748</v>
      </c>
      <c r="D3" s="24">
        <v>45749</v>
      </c>
      <c r="E3" s="24">
        <v>45750</v>
      </c>
      <c r="F3" s="24">
        <v>45751</v>
      </c>
      <c r="G3" s="24">
        <v>45752</v>
      </c>
      <c r="H3" s="23" t="s">
        <v>63</v>
      </c>
      <c r="I3" s="23" t="s">
        <v>11</v>
      </c>
      <c r="J3" s="24">
        <v>45754</v>
      </c>
      <c r="K3" s="24">
        <v>45755</v>
      </c>
      <c r="L3" s="24">
        <v>45756</v>
      </c>
      <c r="M3" s="24">
        <v>45757</v>
      </c>
      <c r="N3" s="24">
        <v>45758</v>
      </c>
      <c r="O3" s="24">
        <v>45759</v>
      </c>
      <c r="P3" s="23" t="s">
        <v>63</v>
      </c>
      <c r="Q3" s="23" t="s">
        <v>11</v>
      </c>
      <c r="R3" s="24">
        <v>45761</v>
      </c>
      <c r="S3" s="24">
        <v>45762</v>
      </c>
      <c r="T3" s="24">
        <v>45763</v>
      </c>
      <c r="U3" s="24">
        <v>45764</v>
      </c>
      <c r="V3" s="24">
        <v>45765</v>
      </c>
      <c r="W3" s="24">
        <v>45766</v>
      </c>
      <c r="X3" s="23" t="s">
        <v>63</v>
      </c>
      <c r="Y3" s="23" t="s">
        <v>11</v>
      </c>
      <c r="Z3" s="24">
        <v>45768</v>
      </c>
      <c r="AA3" s="24">
        <v>45769</v>
      </c>
      <c r="AB3" s="24">
        <v>45770</v>
      </c>
      <c r="AC3" s="24">
        <v>45771</v>
      </c>
      <c r="AD3" s="24">
        <v>45772</v>
      </c>
      <c r="AE3" s="24">
        <v>45773</v>
      </c>
      <c r="AF3" s="23" t="s">
        <v>63</v>
      </c>
      <c r="AG3" s="23" t="s">
        <v>11</v>
      </c>
      <c r="AH3" s="24">
        <v>45775</v>
      </c>
      <c r="AI3" s="24">
        <v>45776</v>
      </c>
      <c r="AJ3" s="24">
        <v>45777</v>
      </c>
      <c r="AK3" s="23" t="s">
        <v>63</v>
      </c>
      <c r="AL3" s="23" t="s">
        <v>11</v>
      </c>
      <c r="AS3" s="68" t="s">
        <v>70</v>
      </c>
      <c r="AT3" s="69"/>
    </row>
    <row r="4" spans="2:46" ht="15.6" customHeight="1" x14ac:dyDescent="0.3">
      <c r="B4" s="17" t="s">
        <v>62</v>
      </c>
      <c r="C4" s="61">
        <v>39</v>
      </c>
      <c r="D4" s="16">
        <v>25</v>
      </c>
      <c r="E4" s="16">
        <v>82</v>
      </c>
      <c r="F4" s="16">
        <v>28</v>
      </c>
      <c r="G4" s="16"/>
      <c r="H4" s="15">
        <f>SUM(C4:G4)</f>
        <v>174</v>
      </c>
      <c r="I4" s="14">
        <f>H4*60</f>
        <v>10440</v>
      </c>
      <c r="J4" s="16">
        <v>21</v>
      </c>
      <c r="K4" s="16">
        <v>97</v>
      </c>
      <c r="L4" s="16"/>
      <c r="M4" s="16">
        <v>15</v>
      </c>
      <c r="N4" s="16">
        <v>68</v>
      </c>
      <c r="O4" s="16">
        <v>26</v>
      </c>
      <c r="P4" s="15">
        <f>SUM(J4:O4)</f>
        <v>227</v>
      </c>
      <c r="Q4" s="14">
        <f>P4*60</f>
        <v>13620</v>
      </c>
      <c r="R4" s="16">
        <v>34</v>
      </c>
      <c r="S4" s="16">
        <v>51</v>
      </c>
      <c r="T4" s="16">
        <v>75</v>
      </c>
      <c r="U4" s="16"/>
      <c r="V4" s="62"/>
      <c r="W4" s="62"/>
      <c r="X4" s="15">
        <f t="shared" ref="X4:X18" si="0">SUM(R4:W4)</f>
        <v>160</v>
      </c>
      <c r="Y4" s="14">
        <f>X4*60</f>
        <v>9600</v>
      </c>
      <c r="Z4" s="16">
        <v>10</v>
      </c>
      <c r="AA4" s="16">
        <v>22</v>
      </c>
      <c r="AB4" s="16">
        <v>23</v>
      </c>
      <c r="AC4" s="16">
        <v>30</v>
      </c>
      <c r="AD4" s="16">
        <v>62</v>
      </c>
      <c r="AE4" s="16">
        <v>24</v>
      </c>
      <c r="AF4" s="15">
        <f>SUM(Z4:AE4)</f>
        <v>171</v>
      </c>
      <c r="AG4" s="14">
        <f>AF4*60</f>
        <v>10260</v>
      </c>
      <c r="AH4" s="16">
        <v>50</v>
      </c>
      <c r="AI4" s="16">
        <v>86</v>
      </c>
      <c r="AJ4" s="16">
        <v>40</v>
      </c>
      <c r="AK4" s="15">
        <f>SUM(AH4:AJ4)</f>
        <v>176</v>
      </c>
      <c r="AL4" s="14">
        <f>AK4*60</f>
        <v>10560</v>
      </c>
      <c r="AS4" s="60" t="s">
        <v>48</v>
      </c>
      <c r="AT4" s="48">
        <f>AO19</f>
        <v>6159</v>
      </c>
    </row>
    <row r="5" spans="2:46" ht="15.6" x14ac:dyDescent="0.3">
      <c r="B5" s="17" t="s">
        <v>61</v>
      </c>
      <c r="C5" s="61">
        <v>23</v>
      </c>
      <c r="D5" s="16">
        <v>25</v>
      </c>
      <c r="E5" s="16">
        <v>48</v>
      </c>
      <c r="F5" s="16">
        <v>42</v>
      </c>
      <c r="G5" s="16">
        <v>20</v>
      </c>
      <c r="H5" s="15">
        <f t="shared" ref="H5:H18" si="1">SUM(C5:G5)</f>
        <v>158</v>
      </c>
      <c r="I5" s="14">
        <f>H5*60</f>
        <v>9480</v>
      </c>
      <c r="J5" s="16">
        <v>18</v>
      </c>
      <c r="K5" s="16">
        <v>77</v>
      </c>
      <c r="L5" s="16"/>
      <c r="M5" s="16">
        <v>15</v>
      </c>
      <c r="N5" s="16">
        <v>51</v>
      </c>
      <c r="O5" s="16">
        <v>30</v>
      </c>
      <c r="P5" s="15">
        <f t="shared" ref="P5:P18" si="2">SUM(J5:O5)</f>
        <v>191</v>
      </c>
      <c r="Q5" s="14">
        <f>P5*60</f>
        <v>11460</v>
      </c>
      <c r="R5" s="16">
        <v>47</v>
      </c>
      <c r="S5" s="16">
        <v>71</v>
      </c>
      <c r="T5" s="16">
        <v>25</v>
      </c>
      <c r="U5" s="16"/>
      <c r="V5" s="62"/>
      <c r="W5" s="62"/>
      <c r="X5" s="15">
        <f t="shared" si="0"/>
        <v>143</v>
      </c>
      <c r="Y5" s="14">
        <f>X5*60</f>
        <v>8580</v>
      </c>
      <c r="Z5" s="16">
        <v>14</v>
      </c>
      <c r="AA5" s="16">
        <v>3</v>
      </c>
      <c r="AB5" s="16">
        <v>17</v>
      </c>
      <c r="AC5" s="16">
        <v>35</v>
      </c>
      <c r="AD5" s="16">
        <v>66</v>
      </c>
      <c r="AE5" s="16">
        <v>69</v>
      </c>
      <c r="AF5" s="15">
        <f t="shared" ref="AF5:AF18" si="3">SUM(Z5:AE5)</f>
        <v>204</v>
      </c>
      <c r="AG5" s="14">
        <f>AF5*60</f>
        <v>12240</v>
      </c>
      <c r="AH5" s="16">
        <v>70</v>
      </c>
      <c r="AI5" s="16">
        <v>74</v>
      </c>
      <c r="AJ5" s="16">
        <v>10</v>
      </c>
      <c r="AK5" s="15">
        <f t="shared" ref="AK5:AK18" si="4">SUM(AH5:AJ5)</f>
        <v>154</v>
      </c>
      <c r="AL5" s="14">
        <f>AK5*60</f>
        <v>9240</v>
      </c>
      <c r="AS5" s="60" t="s">
        <v>3</v>
      </c>
      <c r="AT5" s="46">
        <f>AO20</f>
        <v>448242</v>
      </c>
    </row>
    <row r="6" spans="2:46" ht="15.6" x14ac:dyDescent="0.3">
      <c r="B6" s="17" t="s">
        <v>60</v>
      </c>
      <c r="C6" s="61">
        <v>1</v>
      </c>
      <c r="D6" s="16">
        <v>1</v>
      </c>
      <c r="E6" s="16">
        <v>12</v>
      </c>
      <c r="F6" s="16">
        <v>5</v>
      </c>
      <c r="G6" s="16">
        <v>5</v>
      </c>
      <c r="H6" s="15">
        <f t="shared" si="1"/>
        <v>24</v>
      </c>
      <c r="I6" s="14">
        <f>H6*61</f>
        <v>1464</v>
      </c>
      <c r="J6" s="16">
        <v>2</v>
      </c>
      <c r="K6" s="16">
        <v>5</v>
      </c>
      <c r="L6" s="16">
        <v>6</v>
      </c>
      <c r="M6" s="16" t="s">
        <v>65</v>
      </c>
      <c r="N6" s="16" t="s">
        <v>66</v>
      </c>
      <c r="O6" s="16">
        <v>5</v>
      </c>
      <c r="P6" s="15">
        <f t="shared" si="2"/>
        <v>18</v>
      </c>
      <c r="Q6" s="14">
        <f>P6*61</f>
        <v>1098</v>
      </c>
      <c r="R6" s="16">
        <v>10</v>
      </c>
      <c r="S6" s="16">
        <v>15</v>
      </c>
      <c r="T6" s="16">
        <v>37</v>
      </c>
      <c r="U6" s="16">
        <v>2</v>
      </c>
      <c r="V6" s="62"/>
      <c r="W6" s="62"/>
      <c r="X6" s="15">
        <f t="shared" si="0"/>
        <v>64</v>
      </c>
      <c r="Y6" s="14">
        <f>X6*61</f>
        <v>3904</v>
      </c>
      <c r="Z6" s="16">
        <v>1</v>
      </c>
      <c r="AA6" s="16">
        <v>25</v>
      </c>
      <c r="AB6" s="16">
        <v>10</v>
      </c>
      <c r="AC6" s="16">
        <v>10</v>
      </c>
      <c r="AD6" s="16">
        <v>16</v>
      </c>
      <c r="AE6" s="16">
        <v>40</v>
      </c>
      <c r="AF6" s="15">
        <f t="shared" si="3"/>
        <v>102</v>
      </c>
      <c r="AG6" s="14">
        <f>AF6*61</f>
        <v>6222</v>
      </c>
      <c r="AH6" s="16">
        <v>1</v>
      </c>
      <c r="AI6" s="16">
        <v>9</v>
      </c>
      <c r="AJ6" s="16">
        <v>15</v>
      </c>
      <c r="AK6" s="15">
        <f t="shared" si="4"/>
        <v>25</v>
      </c>
      <c r="AL6" s="14">
        <f>AK6*61</f>
        <v>1525</v>
      </c>
      <c r="AS6" s="59" t="s">
        <v>15</v>
      </c>
      <c r="AT6" s="37">
        <f>AO48</f>
        <v>984</v>
      </c>
    </row>
    <row r="7" spans="2:46" ht="15.6" x14ac:dyDescent="0.3">
      <c r="B7" s="17" t="s">
        <v>59</v>
      </c>
      <c r="C7" s="61">
        <v>23</v>
      </c>
      <c r="D7" s="16">
        <v>16</v>
      </c>
      <c r="E7" s="16">
        <v>60</v>
      </c>
      <c r="F7" s="16">
        <v>5</v>
      </c>
      <c r="G7" s="16" t="s">
        <v>65</v>
      </c>
      <c r="H7" s="15">
        <f t="shared" si="1"/>
        <v>104</v>
      </c>
      <c r="I7" s="14">
        <f>H7*60</f>
        <v>6240</v>
      </c>
      <c r="J7" s="16" t="s">
        <v>65</v>
      </c>
      <c r="K7" s="16">
        <v>10</v>
      </c>
      <c r="L7" s="16"/>
      <c r="M7" s="16">
        <v>10</v>
      </c>
      <c r="N7" s="16">
        <v>25</v>
      </c>
      <c r="O7" s="16">
        <v>5</v>
      </c>
      <c r="P7" s="15">
        <f t="shared" si="2"/>
        <v>50</v>
      </c>
      <c r="Q7" s="14">
        <f>P7*60</f>
        <v>3000</v>
      </c>
      <c r="R7" s="16" t="s">
        <v>65</v>
      </c>
      <c r="S7" s="16">
        <v>5</v>
      </c>
      <c r="T7" s="16">
        <v>32</v>
      </c>
      <c r="U7" s="16"/>
      <c r="V7" s="62"/>
      <c r="W7" s="62"/>
      <c r="X7" s="15">
        <f t="shared" si="0"/>
        <v>37</v>
      </c>
      <c r="Y7" s="14">
        <f>X7*60</f>
        <v>2220</v>
      </c>
      <c r="Z7" s="16">
        <v>20</v>
      </c>
      <c r="AA7" s="16">
        <v>11</v>
      </c>
      <c r="AB7" s="16">
        <v>1</v>
      </c>
      <c r="AC7" s="16">
        <v>10</v>
      </c>
      <c r="AD7" s="16">
        <v>31</v>
      </c>
      <c r="AE7" s="16" t="s">
        <v>65</v>
      </c>
      <c r="AF7" s="15">
        <f t="shared" si="3"/>
        <v>73</v>
      </c>
      <c r="AG7" s="14">
        <f>AF7*60</f>
        <v>4380</v>
      </c>
      <c r="AH7" s="16"/>
      <c r="AI7" s="16">
        <v>10</v>
      </c>
      <c r="AJ7" s="16" t="s">
        <v>65</v>
      </c>
      <c r="AK7" s="15">
        <f t="shared" si="4"/>
        <v>10</v>
      </c>
      <c r="AL7" s="14">
        <f>AK7*60</f>
        <v>600</v>
      </c>
      <c r="AS7" s="59" t="s">
        <v>3</v>
      </c>
      <c r="AT7" s="34">
        <f>AO49</f>
        <v>98126</v>
      </c>
    </row>
    <row r="8" spans="2:46" ht="15.6" x14ac:dyDescent="0.3">
      <c r="B8" s="17" t="s">
        <v>58</v>
      </c>
      <c r="C8" s="61">
        <v>9</v>
      </c>
      <c r="D8" s="16">
        <v>16</v>
      </c>
      <c r="E8" s="16">
        <v>40</v>
      </c>
      <c r="F8" s="20" t="s">
        <v>65</v>
      </c>
      <c r="G8" s="16">
        <v>5</v>
      </c>
      <c r="H8" s="15">
        <f t="shared" si="1"/>
        <v>70</v>
      </c>
      <c r="I8" s="14">
        <f>H8*60</f>
        <v>4200</v>
      </c>
      <c r="J8" s="16">
        <v>1</v>
      </c>
      <c r="K8" s="16" t="s">
        <v>65</v>
      </c>
      <c r="L8" s="16"/>
      <c r="M8" s="16"/>
      <c r="N8" s="16">
        <v>50</v>
      </c>
      <c r="O8" s="16">
        <v>10</v>
      </c>
      <c r="P8" s="15">
        <f t="shared" si="2"/>
        <v>61</v>
      </c>
      <c r="Q8" s="14">
        <f>P8*60</f>
        <v>3660</v>
      </c>
      <c r="R8" s="16">
        <v>9</v>
      </c>
      <c r="S8" s="16">
        <v>10</v>
      </c>
      <c r="T8" s="16">
        <v>10</v>
      </c>
      <c r="U8" s="16"/>
      <c r="V8" s="62"/>
      <c r="W8" s="62"/>
      <c r="X8" s="15">
        <f t="shared" si="0"/>
        <v>29</v>
      </c>
      <c r="Y8" s="14">
        <f>X8*60</f>
        <v>1740</v>
      </c>
      <c r="Z8" s="16">
        <v>12</v>
      </c>
      <c r="AA8" s="16">
        <v>26</v>
      </c>
      <c r="AB8" s="16">
        <v>3</v>
      </c>
      <c r="AC8" s="16">
        <v>10</v>
      </c>
      <c r="AD8" s="16">
        <v>70</v>
      </c>
      <c r="AE8" s="16">
        <v>25</v>
      </c>
      <c r="AF8" s="15">
        <f t="shared" si="3"/>
        <v>146</v>
      </c>
      <c r="AG8" s="14">
        <f>AF8*60</f>
        <v>8760</v>
      </c>
      <c r="AH8" s="16"/>
      <c r="AI8" s="16">
        <v>9</v>
      </c>
      <c r="AJ8" s="16" t="s">
        <v>65</v>
      </c>
      <c r="AK8" s="15">
        <f t="shared" si="4"/>
        <v>9</v>
      </c>
      <c r="AL8" s="14">
        <f>AK8*60</f>
        <v>540</v>
      </c>
      <c r="AS8" s="58" t="s">
        <v>14</v>
      </c>
      <c r="AT8" s="31">
        <f>AO51</f>
        <v>586</v>
      </c>
    </row>
    <row r="9" spans="2:46" ht="15.6" x14ac:dyDescent="0.3">
      <c r="B9" s="17" t="s">
        <v>57</v>
      </c>
      <c r="C9" s="61">
        <v>11</v>
      </c>
      <c r="D9" s="16">
        <v>6</v>
      </c>
      <c r="E9" s="16" t="s">
        <v>65</v>
      </c>
      <c r="F9" s="20">
        <v>13</v>
      </c>
      <c r="G9" s="16">
        <v>11</v>
      </c>
      <c r="H9" s="15">
        <f t="shared" si="1"/>
        <v>41</v>
      </c>
      <c r="I9" s="14">
        <f>H9*60</f>
        <v>2460</v>
      </c>
      <c r="J9" s="16">
        <v>21</v>
      </c>
      <c r="K9" s="16">
        <v>10</v>
      </c>
      <c r="L9" s="16"/>
      <c r="M9" s="16">
        <v>6</v>
      </c>
      <c r="N9" s="16">
        <v>30</v>
      </c>
      <c r="O9" s="16"/>
      <c r="P9" s="15">
        <f t="shared" si="2"/>
        <v>67</v>
      </c>
      <c r="Q9" s="14">
        <f>P9*60</f>
        <v>4020</v>
      </c>
      <c r="R9" s="16">
        <v>5</v>
      </c>
      <c r="S9" s="16">
        <v>23</v>
      </c>
      <c r="T9" s="16">
        <v>11</v>
      </c>
      <c r="U9" s="16"/>
      <c r="V9" s="62"/>
      <c r="W9" s="62"/>
      <c r="X9" s="15">
        <f t="shared" si="0"/>
        <v>39</v>
      </c>
      <c r="Y9" s="14">
        <f>X9*60</f>
        <v>2340</v>
      </c>
      <c r="Z9" s="16">
        <v>2</v>
      </c>
      <c r="AA9" s="16"/>
      <c r="AB9" s="16">
        <v>5</v>
      </c>
      <c r="AC9" s="16">
        <v>11</v>
      </c>
      <c r="AD9" s="16">
        <v>16</v>
      </c>
      <c r="AE9" s="16">
        <v>1</v>
      </c>
      <c r="AF9" s="15">
        <f t="shared" si="3"/>
        <v>35</v>
      </c>
      <c r="AG9" s="14">
        <f>AF9*60</f>
        <v>2100</v>
      </c>
      <c r="AH9" s="16"/>
      <c r="AI9" s="16">
        <v>22</v>
      </c>
      <c r="AJ9" s="16" t="s">
        <v>65</v>
      </c>
      <c r="AK9" s="15">
        <f t="shared" si="4"/>
        <v>22</v>
      </c>
      <c r="AL9" s="14">
        <f>AK9*60</f>
        <v>1320</v>
      </c>
      <c r="AS9" s="58" t="s">
        <v>3</v>
      </c>
      <c r="AT9" s="26">
        <f>AO52</f>
        <v>27685</v>
      </c>
    </row>
    <row r="10" spans="2:46" ht="15.6" x14ac:dyDescent="0.3">
      <c r="B10" s="17" t="s">
        <v>56</v>
      </c>
      <c r="C10" s="61">
        <v>3</v>
      </c>
      <c r="D10" s="16">
        <v>15</v>
      </c>
      <c r="E10" s="16" t="s">
        <v>65</v>
      </c>
      <c r="F10" s="16">
        <v>10</v>
      </c>
      <c r="G10" s="16">
        <v>10</v>
      </c>
      <c r="H10" s="15">
        <f t="shared" si="1"/>
        <v>38</v>
      </c>
      <c r="I10" s="14">
        <f>H10*60</f>
        <v>2280</v>
      </c>
      <c r="J10" s="16">
        <v>10</v>
      </c>
      <c r="K10" s="16">
        <v>18</v>
      </c>
      <c r="L10" s="16"/>
      <c r="M10" s="16"/>
      <c r="N10" s="16">
        <v>22</v>
      </c>
      <c r="O10" s="16">
        <v>7</v>
      </c>
      <c r="P10" s="15">
        <f t="shared" si="2"/>
        <v>57</v>
      </c>
      <c r="Q10" s="14">
        <f>P10*60</f>
        <v>3420</v>
      </c>
      <c r="R10" s="16">
        <v>1</v>
      </c>
      <c r="S10" s="16">
        <v>17</v>
      </c>
      <c r="T10" s="16" t="s">
        <v>65</v>
      </c>
      <c r="U10" s="16"/>
      <c r="V10" s="62"/>
      <c r="W10" s="62"/>
      <c r="X10" s="15">
        <f t="shared" si="0"/>
        <v>18</v>
      </c>
      <c r="Y10" s="14">
        <f>X10*60</f>
        <v>1080</v>
      </c>
      <c r="Z10" s="16">
        <v>1</v>
      </c>
      <c r="AA10" s="16">
        <v>15</v>
      </c>
      <c r="AB10" s="16">
        <v>12</v>
      </c>
      <c r="AC10" s="16" t="s">
        <v>65</v>
      </c>
      <c r="AD10" s="16">
        <v>16</v>
      </c>
      <c r="AE10" s="16">
        <v>4</v>
      </c>
      <c r="AF10" s="15">
        <f t="shared" si="3"/>
        <v>48</v>
      </c>
      <c r="AG10" s="14">
        <f>AF10*60</f>
        <v>2880</v>
      </c>
      <c r="AH10" s="16"/>
      <c r="AI10" s="16">
        <v>19</v>
      </c>
      <c r="AJ10" s="16">
        <v>5</v>
      </c>
      <c r="AK10" s="15">
        <f t="shared" si="4"/>
        <v>24</v>
      </c>
      <c r="AL10" s="14">
        <f>AK10*60</f>
        <v>1440</v>
      </c>
      <c r="AS10" s="57" t="s">
        <v>7</v>
      </c>
      <c r="AT10" s="21">
        <f>AO58</f>
        <v>10429</v>
      </c>
    </row>
    <row r="11" spans="2:46" ht="15.6" x14ac:dyDescent="0.3">
      <c r="B11" s="17" t="s">
        <v>55</v>
      </c>
      <c r="C11" s="61">
        <v>3</v>
      </c>
      <c r="D11" s="16">
        <v>1</v>
      </c>
      <c r="E11" s="16">
        <v>10</v>
      </c>
      <c r="F11" s="16">
        <v>11</v>
      </c>
      <c r="G11" s="16"/>
      <c r="H11" s="15">
        <f t="shared" si="1"/>
        <v>25</v>
      </c>
      <c r="I11" s="14">
        <f>H11*65</f>
        <v>1625</v>
      </c>
      <c r="J11" s="16" t="s">
        <v>65</v>
      </c>
      <c r="K11" s="16">
        <v>1</v>
      </c>
      <c r="L11" s="16"/>
      <c r="M11" s="16">
        <v>1</v>
      </c>
      <c r="N11" s="16">
        <v>1</v>
      </c>
      <c r="O11" s="16"/>
      <c r="P11" s="15">
        <f t="shared" si="2"/>
        <v>3</v>
      </c>
      <c r="Q11" s="14">
        <f>P11*65</f>
        <v>195</v>
      </c>
      <c r="R11" s="16">
        <v>4</v>
      </c>
      <c r="S11" s="16">
        <v>1</v>
      </c>
      <c r="T11" s="16">
        <v>12</v>
      </c>
      <c r="U11" s="16"/>
      <c r="V11" s="62"/>
      <c r="W11" s="62"/>
      <c r="X11" s="15">
        <f t="shared" si="0"/>
        <v>17</v>
      </c>
      <c r="Y11" s="14">
        <f>X11*65</f>
        <v>1105</v>
      </c>
      <c r="Z11" s="16"/>
      <c r="AA11" s="16">
        <v>8</v>
      </c>
      <c r="AB11" s="16">
        <v>17</v>
      </c>
      <c r="AC11" s="16">
        <v>6</v>
      </c>
      <c r="AD11" s="16" t="s">
        <v>65</v>
      </c>
      <c r="AE11" s="16" t="s">
        <v>65</v>
      </c>
      <c r="AF11" s="15">
        <f t="shared" si="3"/>
        <v>31</v>
      </c>
      <c r="AG11" s="14">
        <f>AF11*65</f>
        <v>2015</v>
      </c>
      <c r="AH11" s="16">
        <v>1</v>
      </c>
      <c r="AI11" s="16">
        <v>1</v>
      </c>
      <c r="AJ11" s="16">
        <v>1</v>
      </c>
      <c r="AK11" s="15">
        <f t="shared" si="4"/>
        <v>3</v>
      </c>
      <c r="AL11" s="14">
        <f>AK11*65</f>
        <v>195</v>
      </c>
      <c r="AS11" s="57" t="s">
        <v>3</v>
      </c>
      <c r="AT11" s="18">
        <f>AO59</f>
        <v>1029438</v>
      </c>
    </row>
    <row r="12" spans="2:46" ht="15.6" x14ac:dyDescent="0.3">
      <c r="B12" s="17" t="s">
        <v>54</v>
      </c>
      <c r="C12" s="61">
        <v>1</v>
      </c>
      <c r="D12" s="16" t="s">
        <v>65</v>
      </c>
      <c r="E12" s="16" t="s">
        <v>65</v>
      </c>
      <c r="F12" s="16">
        <v>1</v>
      </c>
      <c r="G12" s="16"/>
      <c r="H12" s="15">
        <f t="shared" si="1"/>
        <v>2</v>
      </c>
      <c r="I12" s="14">
        <f>H12*65</f>
        <v>130</v>
      </c>
      <c r="J12" s="16" t="s">
        <v>65</v>
      </c>
      <c r="K12" s="16" t="s">
        <v>65</v>
      </c>
      <c r="L12" s="16"/>
      <c r="M12" s="16">
        <v>1</v>
      </c>
      <c r="N12" s="16">
        <v>3</v>
      </c>
      <c r="O12" s="16"/>
      <c r="P12" s="15">
        <f t="shared" si="2"/>
        <v>4</v>
      </c>
      <c r="Q12" s="14">
        <f>P12*65</f>
        <v>260</v>
      </c>
      <c r="R12" s="16" t="s">
        <v>65</v>
      </c>
      <c r="S12" s="16">
        <v>1</v>
      </c>
      <c r="T12" s="16">
        <v>10</v>
      </c>
      <c r="U12" s="16"/>
      <c r="V12" s="62"/>
      <c r="W12" s="62"/>
      <c r="X12" s="15">
        <f t="shared" si="0"/>
        <v>11</v>
      </c>
      <c r="Y12" s="14">
        <f>X12*65</f>
        <v>715</v>
      </c>
      <c r="Z12" s="16">
        <v>2</v>
      </c>
      <c r="AA12" s="16">
        <v>5</v>
      </c>
      <c r="AB12" s="16">
        <v>16</v>
      </c>
      <c r="AC12" s="16">
        <v>9</v>
      </c>
      <c r="AD12" s="16" t="s">
        <v>65</v>
      </c>
      <c r="AE12" s="16" t="s">
        <v>65</v>
      </c>
      <c r="AF12" s="15">
        <f t="shared" si="3"/>
        <v>32</v>
      </c>
      <c r="AG12" s="14">
        <f>AF12*65</f>
        <v>2080</v>
      </c>
      <c r="AH12" s="16"/>
      <c r="AI12" s="16" t="s">
        <v>65</v>
      </c>
      <c r="AJ12" s="16" t="s">
        <v>65</v>
      </c>
      <c r="AK12" s="15">
        <f t="shared" si="4"/>
        <v>0</v>
      </c>
      <c r="AL12" s="14">
        <f>AK12*65</f>
        <v>0</v>
      </c>
      <c r="AS12" s="56" t="s">
        <v>4</v>
      </c>
      <c r="AT12" s="12">
        <f>AO61</f>
        <v>982</v>
      </c>
    </row>
    <row r="13" spans="2:46" ht="15.6" x14ac:dyDescent="0.3">
      <c r="B13" s="17" t="s">
        <v>40</v>
      </c>
      <c r="C13" s="61">
        <v>2</v>
      </c>
      <c r="D13" s="16">
        <v>10</v>
      </c>
      <c r="E13" s="16">
        <v>45</v>
      </c>
      <c r="F13" s="16">
        <v>23</v>
      </c>
      <c r="G13" s="16">
        <v>5</v>
      </c>
      <c r="H13" s="15">
        <f t="shared" si="1"/>
        <v>85</v>
      </c>
      <c r="I13" s="14">
        <f>H13*95</f>
        <v>8075</v>
      </c>
      <c r="J13" s="16">
        <v>58</v>
      </c>
      <c r="K13" s="16">
        <v>47</v>
      </c>
      <c r="L13" s="16"/>
      <c r="M13" s="16"/>
      <c r="N13" s="16">
        <v>41</v>
      </c>
      <c r="O13" s="16">
        <v>20</v>
      </c>
      <c r="P13" s="15">
        <f t="shared" si="2"/>
        <v>166</v>
      </c>
      <c r="Q13" s="14">
        <f>P13*95</f>
        <v>15770</v>
      </c>
      <c r="R13" s="16">
        <v>35</v>
      </c>
      <c r="S13" s="16">
        <v>40</v>
      </c>
      <c r="T13" s="16">
        <v>18</v>
      </c>
      <c r="U13" s="16">
        <v>10</v>
      </c>
      <c r="V13" s="62"/>
      <c r="W13" s="62"/>
      <c r="X13" s="15">
        <f t="shared" si="0"/>
        <v>103</v>
      </c>
      <c r="Y13" s="14">
        <f>X13*95</f>
        <v>9785</v>
      </c>
      <c r="Z13" s="16">
        <v>41</v>
      </c>
      <c r="AA13" s="16">
        <v>15</v>
      </c>
      <c r="AB13" s="16">
        <v>118</v>
      </c>
      <c r="AC13" s="16">
        <v>45</v>
      </c>
      <c r="AD13" s="16">
        <v>81</v>
      </c>
      <c r="AE13" s="16">
        <v>60</v>
      </c>
      <c r="AF13" s="15">
        <f t="shared" si="3"/>
        <v>360</v>
      </c>
      <c r="AG13" s="14">
        <f>AF13*95</f>
        <v>34200</v>
      </c>
      <c r="AH13" s="16">
        <v>7</v>
      </c>
      <c r="AI13" s="16">
        <v>6</v>
      </c>
      <c r="AJ13" s="16">
        <v>30</v>
      </c>
      <c r="AK13" s="15">
        <f t="shared" si="4"/>
        <v>43</v>
      </c>
      <c r="AL13" s="14">
        <f>AK13*95</f>
        <v>4085</v>
      </c>
      <c r="AS13" s="55" t="s">
        <v>3</v>
      </c>
      <c r="AT13" s="6">
        <f>AO62</f>
        <v>98200</v>
      </c>
    </row>
    <row r="14" spans="2:46" x14ac:dyDescent="0.3">
      <c r="B14" s="17" t="s">
        <v>53</v>
      </c>
      <c r="C14" s="61">
        <v>5</v>
      </c>
      <c r="D14" s="16">
        <v>15</v>
      </c>
      <c r="E14" s="16">
        <v>20</v>
      </c>
      <c r="F14" s="16">
        <v>10</v>
      </c>
      <c r="G14" s="16">
        <v>40</v>
      </c>
      <c r="H14" s="15">
        <f t="shared" si="1"/>
        <v>90</v>
      </c>
      <c r="I14" s="14">
        <f>H14*105</f>
        <v>9450</v>
      </c>
      <c r="J14" s="16">
        <v>61</v>
      </c>
      <c r="K14" s="16">
        <v>35</v>
      </c>
      <c r="L14" s="16"/>
      <c r="M14" s="16"/>
      <c r="N14" s="16">
        <v>47</v>
      </c>
      <c r="O14" s="16">
        <v>18</v>
      </c>
      <c r="P14" s="15">
        <f t="shared" si="2"/>
        <v>161</v>
      </c>
      <c r="Q14" s="14">
        <f>P14*105</f>
        <v>16905</v>
      </c>
      <c r="R14" s="16">
        <v>21</v>
      </c>
      <c r="S14" s="16">
        <v>34</v>
      </c>
      <c r="T14" s="16">
        <v>15</v>
      </c>
      <c r="U14" s="16"/>
      <c r="V14" s="62"/>
      <c r="W14" s="62"/>
      <c r="X14" s="15">
        <f t="shared" si="0"/>
        <v>70</v>
      </c>
      <c r="Y14" s="14">
        <f>X14*105</f>
        <v>7350</v>
      </c>
      <c r="Z14" s="16">
        <v>39</v>
      </c>
      <c r="AA14" s="16">
        <v>16</v>
      </c>
      <c r="AB14" s="16">
        <v>58</v>
      </c>
      <c r="AC14" s="16">
        <v>20</v>
      </c>
      <c r="AD14" s="16">
        <v>50</v>
      </c>
      <c r="AE14" s="16">
        <v>30</v>
      </c>
      <c r="AF14" s="15">
        <f t="shared" si="3"/>
        <v>213</v>
      </c>
      <c r="AG14" s="14">
        <f>AF14*105</f>
        <v>22365</v>
      </c>
      <c r="AH14" s="16">
        <v>1</v>
      </c>
      <c r="AI14" s="16">
        <v>27</v>
      </c>
      <c r="AJ14" s="16">
        <v>10</v>
      </c>
      <c r="AK14" s="15">
        <f t="shared" si="4"/>
        <v>38</v>
      </c>
      <c r="AL14" s="14">
        <f>AK14*105</f>
        <v>3990</v>
      </c>
      <c r="AS14" s="10"/>
    </row>
    <row r="15" spans="2:46" x14ac:dyDescent="0.3">
      <c r="B15" s="17" t="s">
        <v>52</v>
      </c>
      <c r="C15" s="61">
        <v>5</v>
      </c>
      <c r="D15" s="16">
        <v>4</v>
      </c>
      <c r="E15" s="16">
        <v>5</v>
      </c>
      <c r="F15" s="16">
        <v>10</v>
      </c>
      <c r="G15" s="16"/>
      <c r="H15" s="15">
        <f t="shared" si="1"/>
        <v>24</v>
      </c>
      <c r="I15" s="14">
        <f>H15*110</f>
        <v>2640</v>
      </c>
      <c r="J15" s="16">
        <v>10</v>
      </c>
      <c r="K15" s="16">
        <v>11</v>
      </c>
      <c r="L15" s="16"/>
      <c r="M15" s="16"/>
      <c r="N15" s="16">
        <v>5</v>
      </c>
      <c r="O15" s="16">
        <v>5</v>
      </c>
      <c r="P15" s="15">
        <f t="shared" si="2"/>
        <v>31</v>
      </c>
      <c r="Q15" s="14">
        <f>P15*110</f>
        <v>3410</v>
      </c>
      <c r="R15" s="16"/>
      <c r="S15" s="16">
        <v>5</v>
      </c>
      <c r="T15" s="16">
        <v>1</v>
      </c>
      <c r="U15" s="16"/>
      <c r="V15" s="62"/>
      <c r="W15" s="62"/>
      <c r="X15" s="15">
        <f t="shared" si="0"/>
        <v>6</v>
      </c>
      <c r="Y15" s="14">
        <f>X15*110</f>
        <v>660</v>
      </c>
      <c r="Z15" s="16">
        <v>7</v>
      </c>
      <c r="AA15" s="16"/>
      <c r="AB15" s="16">
        <v>15</v>
      </c>
      <c r="AC15" s="16">
        <v>2</v>
      </c>
      <c r="AD15" s="16">
        <v>10</v>
      </c>
      <c r="AE15" s="16" t="s">
        <v>65</v>
      </c>
      <c r="AF15" s="15">
        <f t="shared" si="3"/>
        <v>34</v>
      </c>
      <c r="AG15" s="14">
        <f>AF15*110</f>
        <v>3740</v>
      </c>
      <c r="AH15" s="16"/>
      <c r="AI15" s="16">
        <v>1</v>
      </c>
      <c r="AJ15" s="16"/>
      <c r="AK15" s="15">
        <f t="shared" si="4"/>
        <v>1</v>
      </c>
      <c r="AL15" s="14">
        <f>AK15*110</f>
        <v>110</v>
      </c>
      <c r="AS15" s="54" t="s">
        <v>51</v>
      </c>
      <c r="AT15" s="53">
        <v>352650</v>
      </c>
    </row>
    <row r="16" spans="2:46" x14ac:dyDescent="0.3">
      <c r="B16" s="17" t="s">
        <v>50</v>
      </c>
      <c r="C16" s="61"/>
      <c r="D16" s="16"/>
      <c r="E16" s="16">
        <v>3</v>
      </c>
      <c r="F16" s="16">
        <v>5</v>
      </c>
      <c r="G16" s="16"/>
      <c r="H16" s="15">
        <f t="shared" si="1"/>
        <v>8</v>
      </c>
      <c r="I16" s="14">
        <f>H16*70</f>
        <v>560</v>
      </c>
      <c r="J16" s="16"/>
      <c r="K16" s="16" t="s">
        <v>65</v>
      </c>
      <c r="L16" s="16"/>
      <c r="M16" s="16"/>
      <c r="N16" s="16">
        <v>38</v>
      </c>
      <c r="O16" s="16">
        <v>3</v>
      </c>
      <c r="P16" s="15">
        <f t="shared" si="2"/>
        <v>41</v>
      </c>
      <c r="Q16" s="14">
        <f>P16*70</f>
        <v>2870</v>
      </c>
      <c r="R16" s="16">
        <v>1</v>
      </c>
      <c r="S16" s="16" t="s">
        <v>65</v>
      </c>
      <c r="T16" s="16"/>
      <c r="U16" s="16"/>
      <c r="V16" s="62"/>
      <c r="W16" s="62"/>
      <c r="X16" s="15">
        <f t="shared" si="0"/>
        <v>1</v>
      </c>
      <c r="Y16" s="14">
        <f>X16*70</f>
        <v>70</v>
      </c>
      <c r="Z16" s="20"/>
      <c r="AA16" s="16">
        <v>24</v>
      </c>
      <c r="AB16" s="16"/>
      <c r="AC16" s="16"/>
      <c r="AD16" s="16">
        <v>15</v>
      </c>
      <c r="AE16" s="16">
        <v>1</v>
      </c>
      <c r="AF16" s="15">
        <f t="shared" si="3"/>
        <v>40</v>
      </c>
      <c r="AG16" s="14">
        <f>AF16*70</f>
        <v>2800</v>
      </c>
      <c r="AH16" s="16"/>
      <c r="AI16" s="16">
        <v>3</v>
      </c>
      <c r="AJ16" s="16"/>
      <c r="AK16" s="15">
        <f t="shared" si="4"/>
        <v>3</v>
      </c>
      <c r="AL16" s="14">
        <f>AK16*70</f>
        <v>210</v>
      </c>
    </row>
    <row r="17" spans="2:42" x14ac:dyDescent="0.3">
      <c r="B17" s="17" t="s">
        <v>28</v>
      </c>
      <c r="C17" s="61"/>
      <c r="D17" s="16"/>
      <c r="E17" s="16" t="s">
        <v>65</v>
      </c>
      <c r="F17" s="16"/>
      <c r="G17" s="16"/>
      <c r="H17" s="15">
        <f t="shared" si="1"/>
        <v>0</v>
      </c>
      <c r="I17" s="14">
        <f>H17*0</f>
        <v>0</v>
      </c>
      <c r="J17" s="16"/>
      <c r="K17" s="16"/>
      <c r="L17" s="16"/>
      <c r="M17" s="16"/>
      <c r="N17" s="16" t="s">
        <v>65</v>
      </c>
      <c r="O17" s="16"/>
      <c r="P17" s="15">
        <f t="shared" si="2"/>
        <v>0</v>
      </c>
      <c r="Q17" s="14">
        <f>P17*0</f>
        <v>0</v>
      </c>
      <c r="R17" s="16"/>
      <c r="S17" s="16" t="s">
        <v>65</v>
      </c>
      <c r="T17" s="16"/>
      <c r="U17" s="16"/>
      <c r="V17" s="62"/>
      <c r="W17" s="62"/>
      <c r="X17" s="15">
        <f t="shared" si="0"/>
        <v>0</v>
      </c>
      <c r="Y17" s="14">
        <f>X17*0</f>
        <v>0</v>
      </c>
      <c r="Z17" s="16"/>
      <c r="AA17" s="16"/>
      <c r="AB17" s="16"/>
      <c r="AC17" s="16"/>
      <c r="AD17" s="16"/>
      <c r="AE17" s="16" t="s">
        <v>65</v>
      </c>
      <c r="AF17" s="15">
        <f t="shared" si="3"/>
        <v>0</v>
      </c>
      <c r="AG17" s="14">
        <f>AF17*0</f>
        <v>0</v>
      </c>
      <c r="AH17" s="16"/>
      <c r="AI17" s="16"/>
      <c r="AJ17" s="16"/>
      <c r="AK17" s="15">
        <f t="shared" si="4"/>
        <v>0</v>
      </c>
      <c r="AL17" s="14">
        <f>AK17*0</f>
        <v>0</v>
      </c>
    </row>
    <row r="18" spans="2:42" x14ac:dyDescent="0.3">
      <c r="B18" s="17" t="s">
        <v>49</v>
      </c>
      <c r="C18" s="61"/>
      <c r="D18" s="16"/>
      <c r="E18" s="16" t="s">
        <v>65</v>
      </c>
      <c r="F18" s="16"/>
      <c r="G18" s="16"/>
      <c r="H18" s="15">
        <f t="shared" si="1"/>
        <v>0</v>
      </c>
      <c r="I18" s="14">
        <f>H18*0</f>
        <v>0</v>
      </c>
      <c r="J18" s="16"/>
      <c r="K18" s="16"/>
      <c r="L18" s="16">
        <v>96</v>
      </c>
      <c r="M18" s="16"/>
      <c r="N18" s="16" t="s">
        <v>65</v>
      </c>
      <c r="O18" s="16" t="s">
        <v>65</v>
      </c>
      <c r="P18" s="15">
        <f t="shared" si="2"/>
        <v>96</v>
      </c>
      <c r="Q18" s="14">
        <f>P18*0</f>
        <v>0</v>
      </c>
      <c r="R18" s="16"/>
      <c r="S18" s="16" t="s">
        <v>65</v>
      </c>
      <c r="T18" s="16"/>
      <c r="U18" s="16" t="s">
        <v>65</v>
      </c>
      <c r="V18" s="62"/>
      <c r="W18" s="62"/>
      <c r="X18" s="15">
        <f t="shared" si="0"/>
        <v>0</v>
      </c>
      <c r="Y18" s="14">
        <f>X18*0</f>
        <v>0</v>
      </c>
      <c r="Z18" s="16" t="s">
        <v>65</v>
      </c>
      <c r="AA18" s="16"/>
      <c r="AB18" s="16"/>
      <c r="AC18" s="16" t="s">
        <v>65</v>
      </c>
      <c r="AD18" s="16" t="s">
        <v>65</v>
      </c>
      <c r="AE18" s="16" t="s">
        <v>65</v>
      </c>
      <c r="AF18" s="15">
        <f t="shared" si="3"/>
        <v>0</v>
      </c>
      <c r="AG18" s="14">
        <f>AF18*0</f>
        <v>0</v>
      </c>
      <c r="AH18" s="16" t="s">
        <v>65</v>
      </c>
      <c r="AI18" s="16" t="s">
        <v>65</v>
      </c>
      <c r="AJ18" s="16"/>
      <c r="AK18" s="15">
        <f t="shared" si="4"/>
        <v>0</v>
      </c>
      <c r="AL18" s="14">
        <f>AK18*0</f>
        <v>0</v>
      </c>
    </row>
    <row r="19" spans="2:42" ht="15.6" x14ac:dyDescent="0.3">
      <c r="B19" s="52"/>
      <c r="C19" s="50"/>
      <c r="D19" s="50"/>
      <c r="E19" s="50"/>
      <c r="F19" s="50"/>
      <c r="G19" s="50"/>
      <c r="H19" s="39">
        <f>SUM(H4:H16)</f>
        <v>843</v>
      </c>
      <c r="I19" s="49">
        <f>SUM(I4:I16)</f>
        <v>59044</v>
      </c>
      <c r="J19" s="50"/>
      <c r="K19" s="50"/>
      <c r="L19" s="50"/>
      <c r="M19" s="50"/>
      <c r="N19" s="50"/>
      <c r="O19" s="50"/>
      <c r="P19" s="39">
        <f>SUM(P4:P16)</f>
        <v>1077</v>
      </c>
      <c r="Q19" s="49">
        <f>SUM(Q4:Q16)</f>
        <v>79688</v>
      </c>
      <c r="R19" s="50"/>
      <c r="S19" s="50"/>
      <c r="T19" s="50"/>
      <c r="U19" s="50"/>
      <c r="V19" s="50"/>
      <c r="W19" s="50"/>
      <c r="X19" s="39">
        <f>SUM(X4:X16)</f>
        <v>698</v>
      </c>
      <c r="Y19" s="49">
        <f>SUM(Y4:Y16)</f>
        <v>49149</v>
      </c>
      <c r="Z19" s="50"/>
      <c r="AA19" s="50"/>
      <c r="AB19" s="50"/>
      <c r="AC19" s="50"/>
      <c r="AD19" s="50"/>
      <c r="AE19" s="50"/>
      <c r="AF19" s="39">
        <f>SUM(AF4:AF16)</f>
        <v>1489</v>
      </c>
      <c r="AG19" s="49">
        <f>SUM(AG4:AG16)</f>
        <v>114042</v>
      </c>
      <c r="AH19" s="50"/>
      <c r="AI19" s="50"/>
      <c r="AJ19" s="50"/>
      <c r="AK19" s="39">
        <f>SUM(AK4:AK16)</f>
        <v>508</v>
      </c>
      <c r="AL19" s="49">
        <f>SUM(AL4:AL16)</f>
        <v>33815</v>
      </c>
      <c r="AN19" s="47" t="s">
        <v>48</v>
      </c>
      <c r="AO19" s="48">
        <f>H50+P50+X50+AF50+AK50</f>
        <v>6159</v>
      </c>
      <c r="AP19" s="30">
        <f>AO20/AO19</f>
        <v>72.778373112518267</v>
      </c>
    </row>
    <row r="20" spans="2:42" ht="15.6" customHeight="1" x14ac:dyDescent="0.3">
      <c r="B20" s="42" t="s">
        <v>47</v>
      </c>
      <c r="C20" s="16"/>
      <c r="D20" s="16"/>
      <c r="E20" s="16">
        <v>30</v>
      </c>
      <c r="F20" s="16">
        <v>10</v>
      </c>
      <c r="G20" s="16"/>
      <c r="H20" s="15">
        <f t="shared" ref="H20:H43" si="5">SUM(C20:G20)</f>
        <v>40</v>
      </c>
      <c r="I20" s="14">
        <f>H20*85</f>
        <v>3400</v>
      </c>
      <c r="J20" s="16">
        <v>5</v>
      </c>
      <c r="K20" s="16">
        <v>10</v>
      </c>
      <c r="L20" s="16"/>
      <c r="M20" s="16"/>
      <c r="N20" s="16">
        <v>60</v>
      </c>
      <c r="O20" s="16"/>
      <c r="P20" s="15">
        <f t="shared" ref="P20:P43" si="6">SUM(J20:O20)</f>
        <v>75</v>
      </c>
      <c r="Q20" s="14">
        <f>P20*85</f>
        <v>6375</v>
      </c>
      <c r="R20" s="16">
        <v>5</v>
      </c>
      <c r="S20" s="16"/>
      <c r="T20" s="16"/>
      <c r="U20" s="16">
        <v>10</v>
      </c>
      <c r="V20" s="62"/>
      <c r="W20" s="62"/>
      <c r="X20" s="15">
        <f t="shared" ref="X20:X43" si="7">SUM(R20:W20)</f>
        <v>15</v>
      </c>
      <c r="Y20" s="14">
        <f>X20*85</f>
        <v>1275</v>
      </c>
      <c r="Z20" s="16"/>
      <c r="AA20" s="16" t="s">
        <v>65</v>
      </c>
      <c r="AB20" s="16">
        <v>4</v>
      </c>
      <c r="AC20" s="16"/>
      <c r="AD20" s="16">
        <v>40</v>
      </c>
      <c r="AE20" s="16">
        <v>40</v>
      </c>
      <c r="AF20" s="15">
        <f>SUM(Z20:AE20)</f>
        <v>84</v>
      </c>
      <c r="AG20" s="14">
        <f>AF20*85</f>
        <v>7140</v>
      </c>
      <c r="AH20" s="16">
        <v>4</v>
      </c>
      <c r="AI20" s="16">
        <v>3</v>
      </c>
      <c r="AJ20" s="16" t="s">
        <v>65</v>
      </c>
      <c r="AK20" s="15">
        <f>SUM(AH20:AJ20)</f>
        <v>7</v>
      </c>
      <c r="AL20" s="14">
        <f>AK20*85</f>
        <v>595</v>
      </c>
      <c r="AN20" s="47" t="s">
        <v>3</v>
      </c>
      <c r="AO20" s="46">
        <f>I50+Q50+Y50+AG50+AL50</f>
        <v>448242</v>
      </c>
    </row>
    <row r="21" spans="2:42" x14ac:dyDescent="0.3">
      <c r="B21" s="42" t="s">
        <v>46</v>
      </c>
      <c r="C21" s="16"/>
      <c r="D21" s="16"/>
      <c r="E21" s="16">
        <v>31</v>
      </c>
      <c r="F21" s="16">
        <v>10</v>
      </c>
      <c r="G21" s="16"/>
      <c r="H21" s="15">
        <f t="shared" si="5"/>
        <v>41</v>
      </c>
      <c r="I21" s="14">
        <f>H21*84</f>
        <v>3444</v>
      </c>
      <c r="J21" s="16">
        <v>5</v>
      </c>
      <c r="K21" s="16">
        <v>10</v>
      </c>
      <c r="L21" s="16"/>
      <c r="M21" s="16"/>
      <c r="N21" s="16">
        <v>80</v>
      </c>
      <c r="O21" s="16"/>
      <c r="P21" s="15">
        <f t="shared" si="6"/>
        <v>95</v>
      </c>
      <c r="Q21" s="14">
        <f>P21*84</f>
        <v>7980</v>
      </c>
      <c r="R21" s="16"/>
      <c r="S21" s="16"/>
      <c r="T21" s="16"/>
      <c r="U21" s="16"/>
      <c r="V21" s="62"/>
      <c r="W21" s="62"/>
      <c r="X21" s="15">
        <f t="shared" si="7"/>
        <v>0</v>
      </c>
      <c r="Y21" s="14">
        <f>X21*84</f>
        <v>0</v>
      </c>
      <c r="Z21" s="16"/>
      <c r="AA21" s="16">
        <v>15</v>
      </c>
      <c r="AB21" s="16">
        <v>5</v>
      </c>
      <c r="AC21" s="16">
        <v>2</v>
      </c>
      <c r="AD21" s="16">
        <v>40</v>
      </c>
      <c r="AE21" s="16">
        <v>70</v>
      </c>
      <c r="AF21" s="15">
        <f t="shared" ref="AF21:AF43" si="8">SUM(Z21:AE21)</f>
        <v>132</v>
      </c>
      <c r="AG21" s="14">
        <f>AF21*84</f>
        <v>11088</v>
      </c>
      <c r="AH21" s="16">
        <v>4</v>
      </c>
      <c r="AI21" s="16">
        <v>1</v>
      </c>
      <c r="AJ21" s="16">
        <v>10</v>
      </c>
      <c r="AK21" s="15">
        <f t="shared" ref="AK21:AK47" si="9">SUM(AH21:AJ21)</f>
        <v>15</v>
      </c>
      <c r="AL21" s="14">
        <f>AK21*84</f>
        <v>1260</v>
      </c>
    </row>
    <row r="22" spans="2:42" x14ac:dyDescent="0.3">
      <c r="B22" s="42" t="s">
        <v>45</v>
      </c>
      <c r="C22" s="16"/>
      <c r="D22" s="16"/>
      <c r="E22" s="16"/>
      <c r="F22" s="16" t="s">
        <v>65</v>
      </c>
      <c r="G22" s="16"/>
      <c r="H22" s="15">
        <f t="shared" si="5"/>
        <v>0</v>
      </c>
      <c r="I22" s="14">
        <f>H22*85</f>
        <v>0</v>
      </c>
      <c r="J22" s="16"/>
      <c r="K22" s="16">
        <v>10</v>
      </c>
      <c r="L22" s="16"/>
      <c r="M22" s="16"/>
      <c r="N22" s="16">
        <v>6</v>
      </c>
      <c r="O22" s="16"/>
      <c r="P22" s="15">
        <f t="shared" si="6"/>
        <v>16</v>
      </c>
      <c r="Q22" s="14">
        <f>P22*85</f>
        <v>1360</v>
      </c>
      <c r="R22" s="16"/>
      <c r="S22" s="16"/>
      <c r="T22" s="16"/>
      <c r="U22" s="16"/>
      <c r="V22" s="62"/>
      <c r="W22" s="62"/>
      <c r="X22" s="15">
        <f t="shared" si="7"/>
        <v>0</v>
      </c>
      <c r="Y22" s="14">
        <f>X22*85</f>
        <v>0</v>
      </c>
      <c r="Z22" s="16"/>
      <c r="AA22" s="16">
        <v>10</v>
      </c>
      <c r="AB22" s="16"/>
      <c r="AC22" s="16"/>
      <c r="AD22" s="16">
        <v>25</v>
      </c>
      <c r="AE22" s="16">
        <v>5</v>
      </c>
      <c r="AF22" s="15">
        <f t="shared" si="8"/>
        <v>40</v>
      </c>
      <c r="AG22" s="14">
        <f>AF22*85</f>
        <v>3400</v>
      </c>
      <c r="AH22" s="16"/>
      <c r="AI22" s="16"/>
      <c r="AJ22" s="16">
        <v>6</v>
      </c>
      <c r="AK22" s="15">
        <f t="shared" si="9"/>
        <v>6</v>
      </c>
      <c r="AL22" s="14">
        <f>AK22*85</f>
        <v>510</v>
      </c>
    </row>
    <row r="23" spans="2:42" x14ac:dyDescent="0.3">
      <c r="B23" s="42" t="s">
        <v>44</v>
      </c>
      <c r="C23" s="16"/>
      <c r="D23" s="16"/>
      <c r="E23" s="16">
        <v>10</v>
      </c>
      <c r="F23" s="16" t="s">
        <v>65</v>
      </c>
      <c r="G23" s="16"/>
      <c r="H23" s="15">
        <f t="shared" si="5"/>
        <v>10</v>
      </c>
      <c r="I23" s="14">
        <f>H23*85</f>
        <v>850</v>
      </c>
      <c r="J23" s="16"/>
      <c r="K23" s="16"/>
      <c r="L23" s="16"/>
      <c r="M23" s="16"/>
      <c r="N23" s="16">
        <v>10</v>
      </c>
      <c r="O23" s="16"/>
      <c r="P23" s="15">
        <f t="shared" si="6"/>
        <v>10</v>
      </c>
      <c r="Q23" s="14">
        <f>P23*85</f>
        <v>850</v>
      </c>
      <c r="R23" s="16">
        <v>1</v>
      </c>
      <c r="S23" s="16"/>
      <c r="T23" s="16"/>
      <c r="U23" s="16"/>
      <c r="V23" s="62"/>
      <c r="W23" s="62"/>
      <c r="X23" s="15">
        <f t="shared" si="7"/>
        <v>1</v>
      </c>
      <c r="Y23" s="14">
        <f>X23*85</f>
        <v>85</v>
      </c>
      <c r="Z23" s="16">
        <v>9</v>
      </c>
      <c r="AA23" s="16"/>
      <c r="AB23" s="16">
        <v>3</v>
      </c>
      <c r="AC23" s="16"/>
      <c r="AD23" s="16">
        <v>20</v>
      </c>
      <c r="AE23" s="16">
        <v>4</v>
      </c>
      <c r="AF23" s="15">
        <f t="shared" si="8"/>
        <v>36</v>
      </c>
      <c r="AG23" s="14">
        <f>AF23*85</f>
        <v>3060</v>
      </c>
      <c r="AH23" s="16"/>
      <c r="AI23" s="16">
        <v>2</v>
      </c>
      <c r="AJ23" s="16"/>
      <c r="AK23" s="15">
        <f t="shared" si="9"/>
        <v>2</v>
      </c>
      <c r="AL23" s="14">
        <f>AK23*85</f>
        <v>170</v>
      </c>
    </row>
    <row r="24" spans="2:42" ht="15.6" x14ac:dyDescent="0.3">
      <c r="B24" s="42" t="s">
        <v>43</v>
      </c>
      <c r="C24" s="16"/>
      <c r="D24" s="16"/>
      <c r="E24" s="16"/>
      <c r="F24" s="16" t="s">
        <v>65</v>
      </c>
      <c r="G24" s="16"/>
      <c r="H24" s="15">
        <f t="shared" si="5"/>
        <v>0</v>
      </c>
      <c r="I24" s="14">
        <f>H24*85</f>
        <v>0</v>
      </c>
      <c r="J24" s="16"/>
      <c r="K24" s="16"/>
      <c r="L24" s="16"/>
      <c r="M24" s="16"/>
      <c r="N24" s="16">
        <v>20</v>
      </c>
      <c r="O24" s="16"/>
      <c r="P24" s="15">
        <f t="shared" si="6"/>
        <v>20</v>
      </c>
      <c r="Q24" s="14">
        <f>P24*85</f>
        <v>1700</v>
      </c>
      <c r="R24" s="16"/>
      <c r="S24" s="16"/>
      <c r="T24" s="16">
        <v>10</v>
      </c>
      <c r="U24" s="16"/>
      <c r="V24" s="62"/>
      <c r="W24" s="62"/>
      <c r="X24" s="15">
        <f t="shared" si="7"/>
        <v>10</v>
      </c>
      <c r="Y24" s="14">
        <f>X24*85</f>
        <v>850</v>
      </c>
      <c r="Z24" s="16"/>
      <c r="AA24" s="16">
        <v>15</v>
      </c>
      <c r="AB24" s="16"/>
      <c r="AC24" s="16"/>
      <c r="AD24" s="16" t="s">
        <v>65</v>
      </c>
      <c r="AE24" s="16" t="s">
        <v>65</v>
      </c>
      <c r="AF24" s="15">
        <f t="shared" si="8"/>
        <v>15</v>
      </c>
      <c r="AG24" s="14">
        <f>AF24*85</f>
        <v>1275</v>
      </c>
      <c r="AH24" s="16"/>
      <c r="AI24" s="16"/>
      <c r="AJ24" s="16"/>
      <c r="AK24" s="15">
        <f t="shared" si="9"/>
        <v>0</v>
      </c>
      <c r="AL24" s="14">
        <f>AK24*85</f>
        <v>0</v>
      </c>
      <c r="AN24" s="70" t="s">
        <v>42</v>
      </c>
      <c r="AO24" s="70"/>
    </row>
    <row r="25" spans="2:42" ht="15.6" x14ac:dyDescent="0.3">
      <c r="B25" s="42" t="s">
        <v>41</v>
      </c>
      <c r="C25" s="16"/>
      <c r="D25" s="16"/>
      <c r="E25" s="16"/>
      <c r="F25" s="16" t="s">
        <v>65</v>
      </c>
      <c r="G25" s="16"/>
      <c r="H25" s="15">
        <f t="shared" si="5"/>
        <v>0</v>
      </c>
      <c r="I25" s="14">
        <f>H25*84</f>
        <v>0</v>
      </c>
      <c r="J25" s="16"/>
      <c r="K25" s="16"/>
      <c r="L25" s="16">
        <v>9</v>
      </c>
      <c r="M25" s="16"/>
      <c r="N25" s="16">
        <v>20</v>
      </c>
      <c r="O25" s="16"/>
      <c r="P25" s="15">
        <f t="shared" si="6"/>
        <v>29</v>
      </c>
      <c r="Q25" s="14">
        <f>P25*84</f>
        <v>2436</v>
      </c>
      <c r="R25" s="16"/>
      <c r="S25" s="16"/>
      <c r="T25" s="16">
        <v>30</v>
      </c>
      <c r="U25" s="16"/>
      <c r="V25" s="62"/>
      <c r="W25" s="62"/>
      <c r="X25" s="15">
        <f t="shared" si="7"/>
        <v>30</v>
      </c>
      <c r="Y25" s="14">
        <f>X25*84</f>
        <v>2520</v>
      </c>
      <c r="Z25" s="16">
        <v>5</v>
      </c>
      <c r="AA25" s="16">
        <v>25</v>
      </c>
      <c r="AB25" s="16"/>
      <c r="AC25" s="16"/>
      <c r="AD25" s="16" t="s">
        <v>65</v>
      </c>
      <c r="AE25" s="16"/>
      <c r="AF25" s="15">
        <f t="shared" si="8"/>
        <v>30</v>
      </c>
      <c r="AG25" s="14">
        <f>AF25*84</f>
        <v>2520</v>
      </c>
      <c r="AH25" s="16"/>
      <c r="AI25" s="16"/>
      <c r="AJ25" s="16"/>
      <c r="AK25" s="15">
        <f t="shared" si="9"/>
        <v>0</v>
      </c>
      <c r="AL25" s="14">
        <f>AK25*84</f>
        <v>0</v>
      </c>
      <c r="AN25" s="45" t="s">
        <v>40</v>
      </c>
      <c r="AO25" s="44">
        <f>H13+P13+X13+AF13+AK13</f>
        <v>757</v>
      </c>
    </row>
    <row r="26" spans="2:42" ht="15.6" x14ac:dyDescent="0.3">
      <c r="B26" s="42" t="s">
        <v>39</v>
      </c>
      <c r="C26" s="16">
        <v>1</v>
      </c>
      <c r="D26" s="16"/>
      <c r="E26" s="16"/>
      <c r="F26" s="16" t="s">
        <v>65</v>
      </c>
      <c r="G26" s="16"/>
      <c r="H26" s="15">
        <f t="shared" si="5"/>
        <v>1</v>
      </c>
      <c r="I26" s="14">
        <f>H26*85</f>
        <v>85</v>
      </c>
      <c r="J26" s="16"/>
      <c r="K26" s="16"/>
      <c r="L26" s="16"/>
      <c r="M26" s="16"/>
      <c r="N26" s="16">
        <v>10</v>
      </c>
      <c r="O26" s="16"/>
      <c r="P26" s="15">
        <f t="shared" si="6"/>
        <v>10</v>
      </c>
      <c r="Q26" s="14">
        <f>P26*85</f>
        <v>850</v>
      </c>
      <c r="R26" s="16"/>
      <c r="S26" s="16"/>
      <c r="T26" s="16"/>
      <c r="U26" s="16"/>
      <c r="V26" s="62"/>
      <c r="W26" s="62"/>
      <c r="X26" s="15">
        <f t="shared" si="7"/>
        <v>0</v>
      </c>
      <c r="Y26" s="14">
        <f>X26*85</f>
        <v>0</v>
      </c>
      <c r="Z26" s="16">
        <v>1</v>
      </c>
      <c r="AA26" s="16">
        <v>20</v>
      </c>
      <c r="AB26" s="16"/>
      <c r="AC26" s="16"/>
      <c r="AD26" s="16" t="s">
        <v>65</v>
      </c>
      <c r="AE26" s="16"/>
      <c r="AF26" s="15">
        <f t="shared" si="8"/>
        <v>21</v>
      </c>
      <c r="AG26" s="14">
        <f>AF26*85</f>
        <v>1785</v>
      </c>
      <c r="AH26" s="16"/>
      <c r="AI26" s="16">
        <v>2</v>
      </c>
      <c r="AJ26" s="16"/>
      <c r="AK26" s="15">
        <f t="shared" si="9"/>
        <v>2</v>
      </c>
      <c r="AL26" s="14">
        <f>AK26*85</f>
        <v>170</v>
      </c>
      <c r="AN26" s="45" t="s">
        <v>38</v>
      </c>
      <c r="AO26" s="44">
        <f>H14+P14+X14+AF14+AK14</f>
        <v>572</v>
      </c>
    </row>
    <row r="27" spans="2:42" ht="15.6" x14ac:dyDescent="0.3">
      <c r="B27" s="42" t="s">
        <v>37</v>
      </c>
      <c r="C27" s="16"/>
      <c r="D27" s="16"/>
      <c r="E27" s="16"/>
      <c r="F27" s="16" t="s">
        <v>65</v>
      </c>
      <c r="G27" s="16"/>
      <c r="H27" s="15">
        <f t="shared" si="5"/>
        <v>0</v>
      </c>
      <c r="I27" s="14">
        <f>H27*85</f>
        <v>0</v>
      </c>
      <c r="J27" s="16"/>
      <c r="K27" s="16"/>
      <c r="L27" s="16"/>
      <c r="M27" s="16"/>
      <c r="N27" s="16" t="s">
        <v>65</v>
      </c>
      <c r="O27" s="16"/>
      <c r="P27" s="15">
        <f t="shared" si="6"/>
        <v>0</v>
      </c>
      <c r="Q27" s="14">
        <f>P27*85</f>
        <v>0</v>
      </c>
      <c r="R27" s="16"/>
      <c r="S27" s="16"/>
      <c r="T27" s="16"/>
      <c r="U27" s="16"/>
      <c r="V27" s="62"/>
      <c r="W27" s="62"/>
      <c r="X27" s="15">
        <f t="shared" si="7"/>
        <v>0</v>
      </c>
      <c r="Y27" s="14">
        <f>X27*85</f>
        <v>0</v>
      </c>
      <c r="Z27" s="16"/>
      <c r="AA27" s="16"/>
      <c r="AB27" s="16"/>
      <c r="AC27" s="16"/>
      <c r="AD27" s="16" t="s">
        <v>65</v>
      </c>
      <c r="AE27" s="16"/>
      <c r="AF27" s="15">
        <f t="shared" si="8"/>
        <v>0</v>
      </c>
      <c r="AG27" s="14">
        <f>AF27*85</f>
        <v>0</v>
      </c>
      <c r="AH27" s="16"/>
      <c r="AI27" s="16"/>
      <c r="AJ27" s="16"/>
      <c r="AK27" s="15">
        <f t="shared" si="9"/>
        <v>0</v>
      </c>
      <c r="AL27" s="14">
        <f>AK27*85</f>
        <v>0</v>
      </c>
      <c r="AN27" s="45" t="s">
        <v>36</v>
      </c>
      <c r="AO27" s="44">
        <f>H15+P15+X15+AF15+AK15</f>
        <v>96</v>
      </c>
    </row>
    <row r="28" spans="2:42" x14ac:dyDescent="0.3">
      <c r="B28" s="42" t="s">
        <v>35</v>
      </c>
      <c r="C28" s="16"/>
      <c r="D28" s="16"/>
      <c r="E28" s="16"/>
      <c r="F28" s="16" t="s">
        <v>65</v>
      </c>
      <c r="G28" s="16"/>
      <c r="H28" s="15">
        <f t="shared" si="5"/>
        <v>0</v>
      </c>
      <c r="I28" s="14">
        <f>H28*75</f>
        <v>0</v>
      </c>
      <c r="J28" s="16">
        <v>15</v>
      </c>
      <c r="K28" s="16"/>
      <c r="L28" s="16"/>
      <c r="M28" s="16"/>
      <c r="N28" s="20" t="s">
        <v>65</v>
      </c>
      <c r="O28" s="16"/>
      <c r="P28" s="15">
        <f t="shared" si="6"/>
        <v>15</v>
      </c>
      <c r="Q28" s="14">
        <f>P28*75</f>
        <v>1125</v>
      </c>
      <c r="R28" s="16"/>
      <c r="S28" s="16"/>
      <c r="T28" s="16"/>
      <c r="U28" s="16">
        <v>10</v>
      </c>
      <c r="V28" s="62"/>
      <c r="W28" s="62"/>
      <c r="X28" s="15">
        <f t="shared" si="7"/>
        <v>10</v>
      </c>
      <c r="Y28" s="14">
        <f>X28*75</f>
        <v>750</v>
      </c>
      <c r="Z28" s="16"/>
      <c r="AA28" s="16">
        <v>7</v>
      </c>
      <c r="AB28" s="16">
        <v>2</v>
      </c>
      <c r="AC28" s="16"/>
      <c r="AD28" s="16">
        <v>20</v>
      </c>
      <c r="AE28" s="16"/>
      <c r="AF28" s="15">
        <f t="shared" si="8"/>
        <v>29</v>
      </c>
      <c r="AG28" s="14">
        <f>AF28*75</f>
        <v>2175</v>
      </c>
      <c r="AH28" s="16"/>
      <c r="AI28" s="16">
        <v>1</v>
      </c>
      <c r="AJ28" s="16"/>
      <c r="AK28" s="15">
        <f t="shared" si="9"/>
        <v>1</v>
      </c>
      <c r="AL28" s="14">
        <f>AK28*75</f>
        <v>75</v>
      </c>
      <c r="AM28" t="s">
        <v>67</v>
      </c>
      <c r="AO28" s="43">
        <f>SUM(AO25:AO27)</f>
        <v>1425</v>
      </c>
    </row>
    <row r="29" spans="2:42" x14ac:dyDescent="0.3">
      <c r="B29" s="42" t="s">
        <v>34</v>
      </c>
      <c r="C29" s="16"/>
      <c r="D29" s="16"/>
      <c r="E29" s="16"/>
      <c r="F29" s="16" t="s">
        <v>65</v>
      </c>
      <c r="G29" s="16"/>
      <c r="H29" s="15">
        <f t="shared" si="5"/>
        <v>0</v>
      </c>
      <c r="I29" s="14">
        <f>H29*75</f>
        <v>0</v>
      </c>
      <c r="J29" s="16"/>
      <c r="K29" s="16"/>
      <c r="L29" s="16"/>
      <c r="M29" s="16"/>
      <c r="N29" s="16" t="s">
        <v>65</v>
      </c>
      <c r="O29" s="16"/>
      <c r="P29" s="15">
        <f t="shared" si="6"/>
        <v>0</v>
      </c>
      <c r="Q29" s="14">
        <f>P29*75</f>
        <v>0</v>
      </c>
      <c r="R29" s="16"/>
      <c r="S29" s="16"/>
      <c r="T29" s="16"/>
      <c r="U29" s="16">
        <v>13</v>
      </c>
      <c r="V29" s="62"/>
      <c r="W29" s="62"/>
      <c r="X29" s="15">
        <f t="shared" si="7"/>
        <v>13</v>
      </c>
      <c r="Y29" s="14">
        <f>X29*75</f>
        <v>975</v>
      </c>
      <c r="Z29" s="16"/>
      <c r="AA29" s="16"/>
      <c r="AB29" s="16"/>
      <c r="AC29" s="16"/>
      <c r="AD29" s="16">
        <v>15</v>
      </c>
      <c r="AE29" s="16"/>
      <c r="AF29" s="15">
        <f t="shared" si="8"/>
        <v>15</v>
      </c>
      <c r="AG29" s="14">
        <f>AF29*75</f>
        <v>1125</v>
      </c>
      <c r="AH29" s="16"/>
      <c r="AI29" s="16"/>
      <c r="AJ29" s="16"/>
      <c r="AK29" s="15">
        <f t="shared" si="9"/>
        <v>0</v>
      </c>
      <c r="AL29" s="14">
        <f>AK29*75</f>
        <v>0</v>
      </c>
    </row>
    <row r="30" spans="2:42" x14ac:dyDescent="0.3">
      <c r="B30" s="42" t="s">
        <v>33</v>
      </c>
      <c r="C30" s="16">
        <v>2</v>
      </c>
      <c r="D30" s="16"/>
      <c r="E30" s="16"/>
      <c r="F30" s="16">
        <v>9</v>
      </c>
      <c r="G30" s="16"/>
      <c r="H30" s="15">
        <f t="shared" si="5"/>
        <v>11</v>
      </c>
      <c r="I30" s="14">
        <f>H30*78</f>
        <v>858</v>
      </c>
      <c r="J30" s="16">
        <v>6</v>
      </c>
      <c r="K30" s="16"/>
      <c r="L30" s="16"/>
      <c r="M30" s="16"/>
      <c r="N30" s="16">
        <v>50</v>
      </c>
      <c r="O30" s="16">
        <v>8</v>
      </c>
      <c r="P30" s="15">
        <f t="shared" si="6"/>
        <v>64</v>
      </c>
      <c r="Q30" s="14">
        <f>P30*78</f>
        <v>4992</v>
      </c>
      <c r="R30" s="16">
        <v>13</v>
      </c>
      <c r="S30" s="16">
        <v>15</v>
      </c>
      <c r="T30" s="16">
        <v>30</v>
      </c>
      <c r="U30" s="16"/>
      <c r="V30" s="62"/>
      <c r="W30" s="62"/>
      <c r="X30" s="15">
        <f t="shared" si="7"/>
        <v>58</v>
      </c>
      <c r="Y30" s="14">
        <f>X30*78</f>
        <v>4524</v>
      </c>
      <c r="Z30" s="16">
        <v>2</v>
      </c>
      <c r="AA30" s="16">
        <v>30</v>
      </c>
      <c r="AB30" s="16">
        <v>1</v>
      </c>
      <c r="AC30" s="16"/>
      <c r="AD30" s="16">
        <v>27</v>
      </c>
      <c r="AE30" s="16">
        <v>20</v>
      </c>
      <c r="AF30" s="15">
        <f t="shared" si="8"/>
        <v>80</v>
      </c>
      <c r="AG30" s="14">
        <f>AF30*78</f>
        <v>6240</v>
      </c>
      <c r="AH30" s="16"/>
      <c r="AI30" s="16">
        <v>6</v>
      </c>
      <c r="AJ30" s="16">
        <v>10</v>
      </c>
      <c r="AK30" s="15">
        <f t="shared" si="9"/>
        <v>16</v>
      </c>
      <c r="AL30" s="14">
        <f>AK30*78</f>
        <v>1248</v>
      </c>
    </row>
    <row r="31" spans="2:42" x14ac:dyDescent="0.3">
      <c r="B31" s="42" t="s">
        <v>32</v>
      </c>
      <c r="C31" s="16"/>
      <c r="D31" s="16"/>
      <c r="E31" s="16"/>
      <c r="F31" s="16" t="s">
        <v>65</v>
      </c>
      <c r="G31" s="16"/>
      <c r="H31" s="15">
        <f t="shared" si="5"/>
        <v>0</v>
      </c>
      <c r="I31" s="14">
        <f>H31*70</f>
        <v>0</v>
      </c>
      <c r="J31" s="16"/>
      <c r="K31" s="16"/>
      <c r="L31" s="16"/>
      <c r="M31" s="16"/>
      <c r="N31" s="16"/>
      <c r="O31" s="16"/>
      <c r="P31" s="15">
        <f t="shared" si="6"/>
        <v>0</v>
      </c>
      <c r="Q31" s="14">
        <f>P31*70</f>
        <v>0</v>
      </c>
      <c r="R31" s="16"/>
      <c r="S31" s="16"/>
      <c r="T31" s="16"/>
      <c r="U31" s="16"/>
      <c r="V31" s="62"/>
      <c r="W31" s="62"/>
      <c r="X31" s="15">
        <f t="shared" si="7"/>
        <v>0</v>
      </c>
      <c r="Y31" s="14">
        <f>X31*70</f>
        <v>0</v>
      </c>
      <c r="Z31" s="16"/>
      <c r="AA31" s="16"/>
      <c r="AB31" s="16"/>
      <c r="AC31" s="16"/>
      <c r="AD31" s="16"/>
      <c r="AE31" s="16"/>
      <c r="AF31" s="15">
        <f t="shared" si="8"/>
        <v>0</v>
      </c>
      <c r="AG31" s="14">
        <f>AF31*70</f>
        <v>0</v>
      </c>
      <c r="AH31" s="16"/>
      <c r="AI31" s="16"/>
      <c r="AJ31" s="16"/>
      <c r="AK31" s="15">
        <f t="shared" si="9"/>
        <v>0</v>
      </c>
      <c r="AL31" s="14">
        <f>AK31*70</f>
        <v>0</v>
      </c>
    </row>
    <row r="32" spans="2:42" x14ac:dyDescent="0.3">
      <c r="B32" s="42" t="s">
        <v>31</v>
      </c>
      <c r="C32" s="16"/>
      <c r="D32" s="16"/>
      <c r="E32" s="16"/>
      <c r="F32" s="16" t="s">
        <v>65</v>
      </c>
      <c r="G32" s="16"/>
      <c r="H32" s="15">
        <f t="shared" si="5"/>
        <v>0</v>
      </c>
      <c r="I32" s="14">
        <f>H32*60</f>
        <v>0</v>
      </c>
      <c r="J32" s="16"/>
      <c r="K32" s="16"/>
      <c r="L32" s="16"/>
      <c r="M32" s="16"/>
      <c r="N32" s="16"/>
      <c r="O32" s="16"/>
      <c r="P32" s="15">
        <f t="shared" si="6"/>
        <v>0</v>
      </c>
      <c r="Q32" s="14">
        <f>P32*60</f>
        <v>0</v>
      </c>
      <c r="R32" s="16"/>
      <c r="S32" s="16"/>
      <c r="T32" s="16"/>
      <c r="U32" s="16"/>
      <c r="V32" s="62"/>
      <c r="W32" s="62"/>
      <c r="X32" s="15">
        <f t="shared" si="7"/>
        <v>0</v>
      </c>
      <c r="Y32" s="14">
        <f>X32*60</f>
        <v>0</v>
      </c>
      <c r="Z32" s="16"/>
      <c r="AA32" s="16"/>
      <c r="AB32" s="16"/>
      <c r="AC32" s="16"/>
      <c r="AD32" s="16"/>
      <c r="AE32" s="16"/>
      <c r="AF32" s="15">
        <f t="shared" si="8"/>
        <v>0</v>
      </c>
      <c r="AG32" s="14">
        <f>AF32*60</f>
        <v>0</v>
      </c>
      <c r="AH32" s="16"/>
      <c r="AI32" s="16"/>
      <c r="AJ32" s="16"/>
      <c r="AK32" s="15">
        <f t="shared" si="9"/>
        <v>0</v>
      </c>
      <c r="AL32" s="14">
        <f>AK32*60</f>
        <v>0</v>
      </c>
    </row>
    <row r="33" spans="2:42" x14ac:dyDescent="0.3">
      <c r="B33" s="42" t="s">
        <v>30</v>
      </c>
      <c r="C33" s="16"/>
      <c r="D33" s="16"/>
      <c r="E33" s="16"/>
      <c r="F33" s="16" t="s">
        <v>65</v>
      </c>
      <c r="G33" s="16"/>
      <c r="H33" s="15">
        <f t="shared" si="5"/>
        <v>0</v>
      </c>
      <c r="I33" s="14">
        <f>H33*60</f>
        <v>0</v>
      </c>
      <c r="J33" s="16"/>
      <c r="K33" s="16"/>
      <c r="L33" s="16"/>
      <c r="M33" s="16"/>
      <c r="N33" s="16"/>
      <c r="O33" s="16"/>
      <c r="P33" s="15">
        <f t="shared" si="6"/>
        <v>0</v>
      </c>
      <c r="Q33" s="14">
        <f>P33*60</f>
        <v>0</v>
      </c>
      <c r="R33" s="16"/>
      <c r="S33" s="16"/>
      <c r="T33" s="16" t="s">
        <v>65</v>
      </c>
      <c r="U33" s="16"/>
      <c r="V33" s="62"/>
      <c r="W33" s="62"/>
      <c r="X33" s="15">
        <f t="shared" si="7"/>
        <v>0</v>
      </c>
      <c r="Y33" s="14">
        <f>X33*60</f>
        <v>0</v>
      </c>
      <c r="Z33" s="16"/>
      <c r="AA33" s="16"/>
      <c r="AB33" s="16"/>
      <c r="AC33" s="16"/>
      <c r="AD33" s="16"/>
      <c r="AE33" s="16"/>
      <c r="AF33" s="15">
        <f t="shared" si="8"/>
        <v>0</v>
      </c>
      <c r="AG33" s="14">
        <f>AF33*60</f>
        <v>0</v>
      </c>
      <c r="AH33" s="16"/>
      <c r="AI33" s="16"/>
      <c r="AJ33" s="16"/>
      <c r="AK33" s="15">
        <f t="shared" si="9"/>
        <v>0</v>
      </c>
      <c r="AL33" s="14">
        <f>AK33*60</f>
        <v>0</v>
      </c>
    </row>
    <row r="34" spans="2:42" x14ac:dyDescent="0.3">
      <c r="B34" s="42" t="s">
        <v>29</v>
      </c>
      <c r="C34" s="16">
        <v>55</v>
      </c>
      <c r="D34" s="16"/>
      <c r="E34" s="16"/>
      <c r="F34" s="16" t="s">
        <v>65</v>
      </c>
      <c r="G34" s="16"/>
      <c r="H34" s="15">
        <f t="shared" si="5"/>
        <v>55</v>
      </c>
      <c r="I34" s="14">
        <f>H34*40</f>
        <v>2200</v>
      </c>
      <c r="J34" s="16"/>
      <c r="K34" s="16"/>
      <c r="L34" s="16"/>
      <c r="M34" s="16"/>
      <c r="N34" s="16"/>
      <c r="O34" s="16"/>
      <c r="P34" s="15">
        <f t="shared" si="6"/>
        <v>0</v>
      </c>
      <c r="Q34" s="14">
        <f>P34*40</f>
        <v>0</v>
      </c>
      <c r="R34" s="16"/>
      <c r="S34" s="16"/>
      <c r="T34" s="16"/>
      <c r="U34" s="16"/>
      <c r="V34" s="62"/>
      <c r="W34" s="62"/>
      <c r="X34" s="15">
        <f t="shared" si="7"/>
        <v>0</v>
      </c>
      <c r="Y34" s="14">
        <f>X34*40</f>
        <v>0</v>
      </c>
      <c r="Z34" s="16"/>
      <c r="AA34" s="16"/>
      <c r="AB34" s="16"/>
      <c r="AC34" s="16"/>
      <c r="AD34" s="16"/>
      <c r="AE34" s="16"/>
      <c r="AF34" s="15">
        <f t="shared" si="8"/>
        <v>0</v>
      </c>
      <c r="AG34" s="14">
        <f>AF34*40</f>
        <v>0</v>
      </c>
      <c r="AH34" s="16"/>
      <c r="AI34" s="16"/>
      <c r="AJ34" s="16"/>
      <c r="AK34" s="15">
        <f t="shared" si="9"/>
        <v>0</v>
      </c>
      <c r="AL34" s="14">
        <f>AK34*40</f>
        <v>0</v>
      </c>
    </row>
    <row r="35" spans="2:42" x14ac:dyDescent="0.3">
      <c r="B35" s="42" t="s">
        <v>28</v>
      </c>
      <c r="C35" s="16">
        <v>55</v>
      </c>
      <c r="D35" s="16"/>
      <c r="E35" s="16">
        <v>5</v>
      </c>
      <c r="F35" s="16" t="s">
        <v>65</v>
      </c>
      <c r="G35" s="16"/>
      <c r="H35" s="15">
        <f t="shared" si="5"/>
        <v>60</v>
      </c>
      <c r="I35" s="14">
        <f>H35*40</f>
        <v>2400</v>
      </c>
      <c r="J35" s="16">
        <v>1</v>
      </c>
      <c r="K35" s="16">
        <v>74</v>
      </c>
      <c r="L35" s="16"/>
      <c r="M35" s="16"/>
      <c r="N35" s="16"/>
      <c r="O35" s="16"/>
      <c r="P35" s="15">
        <f t="shared" si="6"/>
        <v>75</v>
      </c>
      <c r="Q35" s="14">
        <f>P35*40</f>
        <v>3000</v>
      </c>
      <c r="R35" s="16"/>
      <c r="S35" s="16">
        <v>10</v>
      </c>
      <c r="T35" s="16"/>
      <c r="U35" s="16"/>
      <c r="V35" s="62"/>
      <c r="W35" s="62"/>
      <c r="X35" s="15">
        <f t="shared" si="7"/>
        <v>10</v>
      </c>
      <c r="Y35" s="14">
        <f>X35*40</f>
        <v>400</v>
      </c>
      <c r="Z35" s="16">
        <v>1</v>
      </c>
      <c r="AA35" s="16">
        <v>5</v>
      </c>
      <c r="AB35" s="16">
        <v>50</v>
      </c>
      <c r="AC35" s="16">
        <v>4</v>
      </c>
      <c r="AD35" s="16"/>
      <c r="AE35" s="16">
        <v>85</v>
      </c>
      <c r="AF35" s="15">
        <f t="shared" si="8"/>
        <v>145</v>
      </c>
      <c r="AG35" s="14">
        <f>AF35*40</f>
        <v>5800</v>
      </c>
      <c r="AH35" s="16"/>
      <c r="AI35" s="16"/>
      <c r="AJ35" s="16"/>
      <c r="AK35" s="15">
        <f t="shared" si="9"/>
        <v>0</v>
      </c>
      <c r="AL35" s="14">
        <f>AK35*40</f>
        <v>0</v>
      </c>
    </row>
    <row r="36" spans="2:42" x14ac:dyDescent="0.3">
      <c r="B36" s="42" t="s">
        <v>27</v>
      </c>
      <c r="C36" s="16"/>
      <c r="D36" s="16"/>
      <c r="E36" s="16"/>
      <c r="F36" s="16" t="s">
        <v>65</v>
      </c>
      <c r="G36" s="16"/>
      <c r="H36" s="15">
        <f t="shared" si="5"/>
        <v>0</v>
      </c>
      <c r="I36" s="14">
        <f>H36*76</f>
        <v>0</v>
      </c>
      <c r="J36" s="16"/>
      <c r="K36" s="16"/>
      <c r="L36" s="16"/>
      <c r="M36" s="16"/>
      <c r="N36" s="16">
        <v>50</v>
      </c>
      <c r="O36" s="16"/>
      <c r="P36" s="15">
        <f t="shared" si="6"/>
        <v>50</v>
      </c>
      <c r="Q36" s="14">
        <f>P36*76</f>
        <v>3800</v>
      </c>
      <c r="R36" s="16"/>
      <c r="S36" s="16"/>
      <c r="T36" s="16"/>
      <c r="U36" s="16"/>
      <c r="V36" s="62"/>
      <c r="W36" s="62"/>
      <c r="X36" s="15">
        <f t="shared" si="7"/>
        <v>0</v>
      </c>
      <c r="Y36" s="14">
        <f>X36*76</f>
        <v>0</v>
      </c>
      <c r="Z36" s="16"/>
      <c r="AA36" s="16"/>
      <c r="AB36" s="16"/>
      <c r="AC36" s="16"/>
      <c r="AD36" s="16"/>
      <c r="AE36" s="16"/>
      <c r="AF36" s="15">
        <f t="shared" si="8"/>
        <v>0</v>
      </c>
      <c r="AG36" s="14">
        <f>AF36*76</f>
        <v>0</v>
      </c>
      <c r="AH36" s="16"/>
      <c r="AI36" s="16"/>
      <c r="AJ36" s="16"/>
      <c r="AK36" s="15">
        <f t="shared" si="9"/>
        <v>0</v>
      </c>
      <c r="AL36" s="14">
        <f>AK36*76</f>
        <v>0</v>
      </c>
    </row>
    <row r="37" spans="2:42" x14ac:dyDescent="0.3">
      <c r="B37" s="42" t="s">
        <v>26</v>
      </c>
      <c r="C37" s="16"/>
      <c r="D37" s="16"/>
      <c r="E37" s="16"/>
      <c r="F37" s="16" t="s">
        <v>65</v>
      </c>
      <c r="G37" s="16"/>
      <c r="H37" s="15">
        <f t="shared" si="5"/>
        <v>0</v>
      </c>
      <c r="I37" s="14">
        <f>H37*90</f>
        <v>0</v>
      </c>
      <c r="J37" s="16"/>
      <c r="K37" s="16"/>
      <c r="L37" s="16"/>
      <c r="M37" s="16"/>
      <c r="N37" s="16"/>
      <c r="O37" s="16"/>
      <c r="P37" s="15">
        <f t="shared" si="6"/>
        <v>0</v>
      </c>
      <c r="Q37" s="14">
        <f>P37*90</f>
        <v>0</v>
      </c>
      <c r="R37" s="16"/>
      <c r="S37" s="16"/>
      <c r="T37" s="16"/>
      <c r="U37" s="16"/>
      <c r="V37" s="62"/>
      <c r="W37" s="62"/>
      <c r="X37" s="15">
        <f t="shared" si="7"/>
        <v>0</v>
      </c>
      <c r="Y37" s="14">
        <f>X37*90</f>
        <v>0</v>
      </c>
      <c r="Z37" s="16"/>
      <c r="AA37" s="16"/>
      <c r="AB37" s="16"/>
      <c r="AC37" s="16"/>
      <c r="AD37" s="16"/>
      <c r="AE37" s="16"/>
      <c r="AF37" s="15">
        <f t="shared" si="8"/>
        <v>0</v>
      </c>
      <c r="AG37" s="14">
        <f>AF37*90</f>
        <v>0</v>
      </c>
      <c r="AH37" s="16"/>
      <c r="AI37" s="16"/>
      <c r="AJ37" s="16"/>
      <c r="AK37" s="15">
        <f t="shared" si="9"/>
        <v>0</v>
      </c>
      <c r="AL37" s="14">
        <f>AK37*90</f>
        <v>0</v>
      </c>
    </row>
    <row r="38" spans="2:42" x14ac:dyDescent="0.3">
      <c r="B38" s="42" t="s">
        <v>25</v>
      </c>
      <c r="C38" s="16"/>
      <c r="D38" s="16"/>
      <c r="E38" s="16"/>
      <c r="F38" s="16" t="s">
        <v>65</v>
      </c>
      <c r="G38" s="16"/>
      <c r="H38" s="15">
        <f t="shared" si="5"/>
        <v>0</v>
      </c>
      <c r="I38" s="14">
        <f>H38*91</f>
        <v>0</v>
      </c>
      <c r="J38" s="16"/>
      <c r="K38" s="16"/>
      <c r="L38" s="16"/>
      <c r="M38" s="16"/>
      <c r="N38" s="16"/>
      <c r="O38" s="16"/>
      <c r="P38" s="15">
        <f t="shared" si="6"/>
        <v>0</v>
      </c>
      <c r="Q38" s="14">
        <f>P38*91</f>
        <v>0</v>
      </c>
      <c r="R38" s="16"/>
      <c r="S38" s="16"/>
      <c r="T38" s="16">
        <v>20</v>
      </c>
      <c r="U38" s="16"/>
      <c r="V38" s="63"/>
      <c r="W38" s="62"/>
      <c r="X38" s="15">
        <f t="shared" si="7"/>
        <v>20</v>
      </c>
      <c r="Y38" s="14">
        <f>X38*91</f>
        <v>1820</v>
      </c>
      <c r="Z38" s="16"/>
      <c r="AA38" s="16"/>
      <c r="AB38" s="16"/>
      <c r="AC38" s="16"/>
      <c r="AD38" s="16"/>
      <c r="AE38" s="16"/>
      <c r="AF38" s="15">
        <f t="shared" si="8"/>
        <v>0</v>
      </c>
      <c r="AG38" s="14">
        <f>AF38*91</f>
        <v>0</v>
      </c>
      <c r="AH38" s="16"/>
      <c r="AI38" s="16"/>
      <c r="AJ38" s="16"/>
      <c r="AK38" s="15">
        <f t="shared" si="9"/>
        <v>0</v>
      </c>
      <c r="AL38" s="14">
        <f>AK38*91</f>
        <v>0</v>
      </c>
    </row>
    <row r="39" spans="2:42" x14ac:dyDescent="0.3">
      <c r="B39" s="42" t="s">
        <v>24</v>
      </c>
      <c r="C39" s="16"/>
      <c r="D39" s="16"/>
      <c r="E39" s="16"/>
      <c r="F39" s="16" t="s">
        <v>65</v>
      </c>
      <c r="G39" s="16"/>
      <c r="H39" s="15">
        <f t="shared" si="5"/>
        <v>0</v>
      </c>
      <c r="I39" s="14">
        <f>H39*90</f>
        <v>0</v>
      </c>
      <c r="J39" s="16"/>
      <c r="K39" s="16"/>
      <c r="L39" s="16"/>
      <c r="M39" s="16"/>
      <c r="N39" s="16"/>
      <c r="O39" s="16"/>
      <c r="P39" s="15">
        <f t="shared" si="6"/>
        <v>0</v>
      </c>
      <c r="Q39" s="14">
        <f>P39*90</f>
        <v>0</v>
      </c>
      <c r="R39" s="16"/>
      <c r="S39" s="16"/>
      <c r="T39" s="16">
        <v>10</v>
      </c>
      <c r="U39" s="16"/>
      <c r="V39" s="62"/>
      <c r="W39" s="62"/>
      <c r="X39" s="15">
        <f t="shared" si="7"/>
        <v>10</v>
      </c>
      <c r="Y39" s="14">
        <f>X39*90</f>
        <v>900</v>
      </c>
      <c r="Z39" s="16"/>
      <c r="AA39" s="16"/>
      <c r="AB39" s="16"/>
      <c r="AC39" s="16"/>
      <c r="AD39" s="16"/>
      <c r="AE39" s="16"/>
      <c r="AF39" s="15">
        <f t="shared" si="8"/>
        <v>0</v>
      </c>
      <c r="AG39" s="14">
        <f>AF39*90</f>
        <v>0</v>
      </c>
      <c r="AH39" s="16"/>
      <c r="AI39" s="16"/>
      <c r="AJ39" s="16"/>
      <c r="AK39" s="15">
        <f t="shared" si="9"/>
        <v>0</v>
      </c>
      <c r="AL39" s="14">
        <f>AK39*90</f>
        <v>0</v>
      </c>
    </row>
    <row r="40" spans="2:42" x14ac:dyDescent="0.3">
      <c r="B40" s="42" t="s">
        <v>23</v>
      </c>
      <c r="C40" s="16"/>
      <c r="D40" s="16"/>
      <c r="E40" s="16"/>
      <c r="F40" s="16" t="s">
        <v>65</v>
      </c>
      <c r="G40" s="16"/>
      <c r="H40" s="15">
        <f t="shared" si="5"/>
        <v>0</v>
      </c>
      <c r="I40" s="14">
        <f>H40*76</f>
        <v>0</v>
      </c>
      <c r="J40" s="16"/>
      <c r="K40" s="16"/>
      <c r="L40" s="16"/>
      <c r="M40" s="16"/>
      <c r="N40" s="16"/>
      <c r="O40" s="16"/>
      <c r="P40" s="15">
        <f t="shared" si="6"/>
        <v>0</v>
      </c>
      <c r="Q40" s="14">
        <f>P40*76</f>
        <v>0</v>
      </c>
      <c r="R40" s="16"/>
      <c r="S40" s="16"/>
      <c r="T40" s="16"/>
      <c r="U40" s="16"/>
      <c r="V40" s="62"/>
      <c r="W40" s="62"/>
      <c r="X40" s="15">
        <f t="shared" si="7"/>
        <v>0</v>
      </c>
      <c r="Y40" s="14">
        <f>X40*76</f>
        <v>0</v>
      </c>
      <c r="Z40" s="16"/>
      <c r="AA40" s="16"/>
      <c r="AB40" s="16"/>
      <c r="AC40" s="16"/>
      <c r="AD40" s="16"/>
      <c r="AE40" s="16">
        <v>14</v>
      </c>
      <c r="AF40" s="15">
        <f t="shared" si="8"/>
        <v>14</v>
      </c>
      <c r="AG40" s="14">
        <f>AF40*76</f>
        <v>1064</v>
      </c>
      <c r="AH40" s="16"/>
      <c r="AI40" s="16"/>
      <c r="AJ40" s="16"/>
      <c r="AK40" s="15">
        <f t="shared" si="9"/>
        <v>0</v>
      </c>
      <c r="AL40" s="14">
        <f>AK40*76</f>
        <v>0</v>
      </c>
    </row>
    <row r="41" spans="2:42" x14ac:dyDescent="0.3">
      <c r="B41" s="42" t="s">
        <v>22</v>
      </c>
      <c r="C41" s="16"/>
      <c r="D41" s="16"/>
      <c r="E41" s="16"/>
      <c r="F41" s="16" t="s">
        <v>65</v>
      </c>
      <c r="G41" s="16"/>
      <c r="H41" s="15">
        <f t="shared" si="5"/>
        <v>0</v>
      </c>
      <c r="I41" s="14">
        <f>H41*100</f>
        <v>0</v>
      </c>
      <c r="J41" s="16"/>
      <c r="K41" s="16"/>
      <c r="L41" s="16"/>
      <c r="M41" s="16"/>
      <c r="N41" s="16"/>
      <c r="O41" s="16"/>
      <c r="P41" s="15">
        <f t="shared" si="6"/>
        <v>0</v>
      </c>
      <c r="Q41" s="14">
        <f>P41*100</f>
        <v>0</v>
      </c>
      <c r="R41" s="16"/>
      <c r="S41" s="16"/>
      <c r="T41" s="16"/>
      <c r="U41" s="16"/>
      <c r="V41" s="62"/>
      <c r="W41" s="62"/>
      <c r="X41" s="15">
        <f t="shared" si="7"/>
        <v>0</v>
      </c>
      <c r="Y41" s="14">
        <f>X41*100</f>
        <v>0</v>
      </c>
      <c r="Z41" s="16"/>
      <c r="AA41" s="16"/>
      <c r="AB41" s="16"/>
      <c r="AC41" s="16"/>
      <c r="AD41" s="16"/>
      <c r="AE41" s="16"/>
      <c r="AF41" s="15">
        <f t="shared" si="8"/>
        <v>0</v>
      </c>
      <c r="AG41" s="14">
        <f>AF41*100</f>
        <v>0</v>
      </c>
      <c r="AH41" s="16"/>
      <c r="AI41" s="16"/>
      <c r="AJ41" s="16"/>
      <c r="AK41" s="15">
        <f t="shared" si="9"/>
        <v>0</v>
      </c>
      <c r="AL41" s="14">
        <f>AK41*100</f>
        <v>0</v>
      </c>
    </row>
    <row r="42" spans="2:42" x14ac:dyDescent="0.3">
      <c r="B42" s="42" t="s">
        <v>21</v>
      </c>
      <c r="C42" s="16"/>
      <c r="D42" s="16"/>
      <c r="E42" s="16"/>
      <c r="F42" s="16" t="s">
        <v>65</v>
      </c>
      <c r="G42" s="16"/>
      <c r="H42" s="15">
        <f t="shared" si="5"/>
        <v>0</v>
      </c>
      <c r="I42" s="14">
        <f>H42*100</f>
        <v>0</v>
      </c>
      <c r="J42" s="16"/>
      <c r="K42" s="16"/>
      <c r="L42" s="16"/>
      <c r="M42" s="16"/>
      <c r="N42" s="16"/>
      <c r="O42" s="16"/>
      <c r="P42" s="15">
        <f t="shared" si="6"/>
        <v>0</v>
      </c>
      <c r="Q42" s="14">
        <f>P42*100</f>
        <v>0</v>
      </c>
      <c r="R42" s="16"/>
      <c r="S42" s="16"/>
      <c r="T42" s="16"/>
      <c r="U42" s="16"/>
      <c r="V42" s="62"/>
      <c r="W42" s="62"/>
      <c r="X42" s="15">
        <f t="shared" si="7"/>
        <v>0</v>
      </c>
      <c r="Y42" s="14">
        <f>X42*100</f>
        <v>0</v>
      </c>
      <c r="Z42" s="16"/>
      <c r="AA42" s="16"/>
      <c r="AB42" s="16"/>
      <c r="AC42" s="16"/>
      <c r="AD42" s="16"/>
      <c r="AE42" s="16"/>
      <c r="AF42" s="15">
        <f t="shared" si="8"/>
        <v>0</v>
      </c>
      <c r="AG42" s="14">
        <f>AF42*100</f>
        <v>0</v>
      </c>
      <c r="AH42" s="16"/>
      <c r="AI42" s="16"/>
      <c r="AJ42" s="16"/>
      <c r="AK42" s="15">
        <f t="shared" si="9"/>
        <v>0</v>
      </c>
      <c r="AL42" s="14">
        <f>AK42*100</f>
        <v>0</v>
      </c>
    </row>
    <row r="43" spans="2:42" x14ac:dyDescent="0.3">
      <c r="B43" s="42" t="s">
        <v>20</v>
      </c>
      <c r="C43" s="16"/>
      <c r="D43" s="16"/>
      <c r="E43" s="16"/>
      <c r="F43" s="16" t="s">
        <v>65</v>
      </c>
      <c r="G43" s="16"/>
      <c r="H43" s="15">
        <f t="shared" si="5"/>
        <v>0</v>
      </c>
      <c r="I43" s="14">
        <f>H43*78</f>
        <v>0</v>
      </c>
      <c r="J43" s="16"/>
      <c r="K43" s="16"/>
      <c r="L43" s="16"/>
      <c r="M43" s="16"/>
      <c r="N43" s="16"/>
      <c r="O43" s="16"/>
      <c r="P43" s="15">
        <f t="shared" si="6"/>
        <v>0</v>
      </c>
      <c r="Q43" s="14">
        <f>P43*78</f>
        <v>0</v>
      </c>
      <c r="R43" s="16"/>
      <c r="S43" s="16"/>
      <c r="T43" s="16"/>
      <c r="U43" s="16"/>
      <c r="V43" s="62"/>
      <c r="W43" s="62"/>
      <c r="X43" s="15">
        <f t="shared" si="7"/>
        <v>0</v>
      </c>
      <c r="Y43" s="14">
        <f>X43*78</f>
        <v>0</v>
      </c>
      <c r="Z43" s="16"/>
      <c r="AA43" s="16"/>
      <c r="AB43" s="16"/>
      <c r="AC43" s="16"/>
      <c r="AD43" s="16"/>
      <c r="AE43" s="16"/>
      <c r="AF43" s="15">
        <f t="shared" si="8"/>
        <v>0</v>
      </c>
      <c r="AG43" s="14">
        <f>AF43*78</f>
        <v>0</v>
      </c>
      <c r="AH43" s="16"/>
      <c r="AI43" s="16"/>
      <c r="AJ43" s="16"/>
      <c r="AK43" s="15">
        <f t="shared" si="9"/>
        <v>0</v>
      </c>
      <c r="AL43" s="14">
        <f>AK43*78</f>
        <v>0</v>
      </c>
    </row>
    <row r="44" spans="2:42" ht="15.6" x14ac:dyDescent="0.3">
      <c r="B44" s="17" t="s">
        <v>19</v>
      </c>
      <c r="C44" s="16"/>
      <c r="D44" s="16"/>
      <c r="E44" s="16">
        <v>25</v>
      </c>
      <c r="F44" s="16">
        <v>35</v>
      </c>
      <c r="G44" s="16">
        <v>58</v>
      </c>
      <c r="H44" s="15">
        <f>SUM(C44:G44)</f>
        <v>118</v>
      </c>
      <c r="I44" s="14">
        <f>H44*99</f>
        <v>11682</v>
      </c>
      <c r="J44" s="16"/>
      <c r="K44" s="16">
        <v>80</v>
      </c>
      <c r="L44" s="16"/>
      <c r="M44" s="16"/>
      <c r="N44" s="16"/>
      <c r="O44" s="16"/>
      <c r="P44" s="15">
        <f>SUM(J44:O44)</f>
        <v>80</v>
      </c>
      <c r="Q44" s="14">
        <f>P44*99</f>
        <v>7920</v>
      </c>
      <c r="R44" s="16"/>
      <c r="S44" s="16">
        <v>63</v>
      </c>
      <c r="T44" s="16"/>
      <c r="U44" s="16"/>
      <c r="V44" s="62"/>
      <c r="W44" s="62"/>
      <c r="X44" s="15">
        <f>SUM(R44:W44)</f>
        <v>63</v>
      </c>
      <c r="Y44" s="14">
        <f>X44*99</f>
        <v>6237</v>
      </c>
      <c r="Z44" s="16"/>
      <c r="AA44" s="16"/>
      <c r="AB44" s="16"/>
      <c r="AC44" s="16"/>
      <c r="AD44" s="16">
        <v>23</v>
      </c>
      <c r="AE44" s="16"/>
      <c r="AF44" s="15">
        <f>SUM(Z44:AE44)</f>
        <v>23</v>
      </c>
      <c r="AG44" s="14">
        <f>AF44*99</f>
        <v>2277</v>
      </c>
      <c r="AH44" s="16"/>
      <c r="AI44" s="16">
        <v>80</v>
      </c>
      <c r="AJ44" s="16">
        <v>10</v>
      </c>
      <c r="AK44" s="15">
        <f t="shared" si="9"/>
        <v>90</v>
      </c>
      <c r="AL44" s="14">
        <f>AK44*99</f>
        <v>8910</v>
      </c>
      <c r="AN44" s="41"/>
      <c r="AO44" s="40"/>
    </row>
    <row r="45" spans="2:42" x14ac:dyDescent="0.3">
      <c r="B45" s="17" t="s">
        <v>18</v>
      </c>
      <c r="C45" s="16"/>
      <c r="D45" s="16">
        <v>50</v>
      </c>
      <c r="E45" s="16"/>
      <c r="F45" s="16" t="s">
        <v>65</v>
      </c>
      <c r="G45" s="16"/>
      <c r="H45" s="15">
        <f>SUM(C45:G45)</f>
        <v>50</v>
      </c>
      <c r="I45" s="14">
        <f>H45*101</f>
        <v>5050</v>
      </c>
      <c r="J45" s="16"/>
      <c r="K45" s="16"/>
      <c r="L45" s="16"/>
      <c r="M45" s="16">
        <v>10</v>
      </c>
      <c r="N45" s="16">
        <v>100</v>
      </c>
      <c r="O45" s="16"/>
      <c r="P45" s="15">
        <f>SUM(J45:O45)</f>
        <v>110</v>
      </c>
      <c r="Q45" s="14">
        <f>P45*101</f>
        <v>11110</v>
      </c>
      <c r="R45" s="16"/>
      <c r="S45" s="16"/>
      <c r="T45" s="16">
        <v>30</v>
      </c>
      <c r="U45" s="16"/>
      <c r="V45" s="62"/>
      <c r="W45" s="62"/>
      <c r="X45" s="15">
        <f>SUM(R45:W45)</f>
        <v>30</v>
      </c>
      <c r="Y45" s="14">
        <f>X45*101</f>
        <v>3030</v>
      </c>
      <c r="Z45" s="16">
        <v>100</v>
      </c>
      <c r="AA45" s="16"/>
      <c r="AB45" s="16"/>
      <c r="AC45" s="16">
        <v>65</v>
      </c>
      <c r="AE45" s="16"/>
      <c r="AF45" s="15">
        <f>SUM(Z45:AE45)</f>
        <v>165</v>
      </c>
      <c r="AG45" s="14">
        <f>AF45*101</f>
        <v>16665</v>
      </c>
      <c r="AH45" s="16"/>
      <c r="AI45" s="16"/>
      <c r="AJ45" s="16"/>
      <c r="AK45" s="15">
        <f t="shared" si="9"/>
        <v>0</v>
      </c>
      <c r="AL45" s="14">
        <f>AK45*101</f>
        <v>0</v>
      </c>
    </row>
    <row r="46" spans="2:42" x14ac:dyDescent="0.3">
      <c r="B46" s="17" t="s">
        <v>17</v>
      </c>
      <c r="C46" s="16">
        <v>4</v>
      </c>
      <c r="D46" s="16">
        <v>20</v>
      </c>
      <c r="E46" s="16">
        <v>20</v>
      </c>
      <c r="F46" s="16">
        <v>1</v>
      </c>
      <c r="G46" s="16"/>
      <c r="H46" s="15">
        <f>SUM(C46:G46)</f>
        <v>45</v>
      </c>
      <c r="I46" s="14">
        <f>H46*99</f>
        <v>4455</v>
      </c>
      <c r="J46" s="16">
        <v>9</v>
      </c>
      <c r="K46" s="16">
        <v>10</v>
      </c>
      <c r="L46" s="16"/>
      <c r="M46" s="16">
        <v>5</v>
      </c>
      <c r="N46" s="16"/>
      <c r="O46" s="16">
        <v>25</v>
      </c>
      <c r="P46" s="15">
        <f>SUM(J46:O46)</f>
        <v>49</v>
      </c>
      <c r="Q46" s="14">
        <f>P46*99</f>
        <v>4851</v>
      </c>
      <c r="R46" s="16">
        <v>22</v>
      </c>
      <c r="S46" s="16"/>
      <c r="T46" s="16">
        <v>15</v>
      </c>
      <c r="U46" s="16"/>
      <c r="V46" s="62"/>
      <c r="W46" s="62"/>
      <c r="X46" s="15">
        <f>SUM(R46:W46)</f>
        <v>37</v>
      </c>
      <c r="Y46" s="14">
        <f>X46*99</f>
        <v>3663</v>
      </c>
      <c r="Z46" s="16">
        <v>26</v>
      </c>
      <c r="AA46" s="16">
        <v>5</v>
      </c>
      <c r="AB46" s="16">
        <v>10</v>
      </c>
      <c r="AC46" s="16"/>
      <c r="AD46" s="16">
        <v>45</v>
      </c>
      <c r="AE46" s="16"/>
      <c r="AF46" s="15">
        <f>SUM(Z46:AE46)</f>
        <v>86</v>
      </c>
      <c r="AG46" s="14">
        <f>AF46*99</f>
        <v>8514</v>
      </c>
      <c r="AH46" s="16"/>
      <c r="AI46" s="16">
        <v>13</v>
      </c>
      <c r="AJ46" s="16">
        <v>25</v>
      </c>
      <c r="AK46" s="15">
        <f t="shared" si="9"/>
        <v>38</v>
      </c>
      <c r="AL46" s="14">
        <f>AK46*99</f>
        <v>3762</v>
      </c>
    </row>
    <row r="47" spans="2:42" x14ac:dyDescent="0.3">
      <c r="B47" s="17" t="s">
        <v>14</v>
      </c>
      <c r="C47" s="16">
        <v>23</v>
      </c>
      <c r="D47" s="16">
        <v>35</v>
      </c>
      <c r="E47" s="16">
        <v>25</v>
      </c>
      <c r="F47" s="16">
        <v>26</v>
      </c>
      <c r="G47" s="16">
        <v>34</v>
      </c>
      <c r="H47" s="15">
        <f>SUM(C47:G47)</f>
        <v>143</v>
      </c>
      <c r="I47" s="14">
        <f>H47*45</f>
        <v>6435</v>
      </c>
      <c r="J47" s="16">
        <v>42</v>
      </c>
      <c r="K47" s="16">
        <v>22</v>
      </c>
      <c r="L47" s="16">
        <v>10</v>
      </c>
      <c r="M47" s="16">
        <v>15</v>
      </c>
      <c r="N47" s="16">
        <v>23</v>
      </c>
      <c r="O47" s="16">
        <v>10</v>
      </c>
      <c r="P47" s="15">
        <f>SUM(J47:O47)</f>
        <v>122</v>
      </c>
      <c r="Q47" s="14">
        <f>P47*45</f>
        <v>5490</v>
      </c>
      <c r="R47" s="16">
        <v>7</v>
      </c>
      <c r="S47" s="16"/>
      <c r="T47" s="16">
        <v>4</v>
      </c>
      <c r="U47" s="16"/>
      <c r="V47" s="62"/>
      <c r="W47" s="62"/>
      <c r="X47" s="15">
        <f>SUM(R47:W47)</f>
        <v>11</v>
      </c>
      <c r="Y47" s="14">
        <f>X47*48</f>
        <v>528</v>
      </c>
      <c r="Z47" s="16">
        <v>43</v>
      </c>
      <c r="AA47" s="16">
        <v>35</v>
      </c>
      <c r="AB47" s="16"/>
      <c r="AC47" s="16">
        <v>30</v>
      </c>
      <c r="AD47" s="16">
        <v>26</v>
      </c>
      <c r="AE47" s="16"/>
      <c r="AF47" s="15">
        <f>SUM(Z47:AE47)</f>
        <v>134</v>
      </c>
      <c r="AG47" s="14">
        <f>AF47*48</f>
        <v>6432</v>
      </c>
      <c r="AH47" s="16">
        <v>50</v>
      </c>
      <c r="AI47" s="16">
        <v>42</v>
      </c>
      <c r="AJ47" s="16">
        <v>84</v>
      </c>
      <c r="AK47" s="15">
        <f t="shared" si="9"/>
        <v>176</v>
      </c>
      <c r="AL47" s="14">
        <f>AK47*50</f>
        <v>8800</v>
      </c>
    </row>
    <row r="48" spans="2:42" ht="15.6" x14ac:dyDescent="0.3">
      <c r="C48" s="10"/>
      <c r="D48" s="10"/>
      <c r="E48" s="10"/>
      <c r="F48" s="10"/>
      <c r="G48" s="10"/>
      <c r="H48" s="39">
        <f>SUM(H20:H43)</f>
        <v>218</v>
      </c>
      <c r="I48" s="38">
        <f>SUM(I20:I43)</f>
        <v>13237</v>
      </c>
      <c r="J48" s="10"/>
      <c r="K48" s="10"/>
      <c r="L48" s="10"/>
      <c r="M48" s="10"/>
      <c r="N48" s="10"/>
      <c r="O48" s="10"/>
      <c r="P48" s="39">
        <f>SUM(P20:P43)</f>
        <v>459</v>
      </c>
      <c r="Q48" s="38">
        <f>SUM(Q20:Q43)</f>
        <v>34468</v>
      </c>
      <c r="R48" s="10"/>
      <c r="S48" s="10"/>
      <c r="T48" s="10"/>
      <c r="U48" s="10"/>
      <c r="V48" s="10"/>
      <c r="W48" s="10"/>
      <c r="X48" s="39">
        <f>SUM(X20:X43)</f>
        <v>177</v>
      </c>
      <c r="Y48" s="38">
        <f>SUM(Y20:Y43)</f>
        <v>14099</v>
      </c>
      <c r="Z48" s="10"/>
      <c r="AA48" s="10"/>
      <c r="AB48" s="10"/>
      <c r="AC48" s="10"/>
      <c r="AD48" s="10"/>
      <c r="AE48" s="10"/>
      <c r="AF48" s="39">
        <f>SUM(AF20:AF43)</f>
        <v>641</v>
      </c>
      <c r="AG48" s="38">
        <f>SUM(AG20:AG43)</f>
        <v>46672</v>
      </c>
      <c r="AH48" s="10"/>
      <c r="AI48" s="10"/>
      <c r="AJ48" s="10"/>
      <c r="AK48" s="39">
        <f>SUM(AK20:AK43)</f>
        <v>49</v>
      </c>
      <c r="AL48" s="38">
        <f>SUM(AL20:AL43)</f>
        <v>4028</v>
      </c>
      <c r="AN48" s="35" t="s">
        <v>15</v>
      </c>
      <c r="AO48" s="37">
        <f>H51+P51+X51+AF51+AK51</f>
        <v>984</v>
      </c>
      <c r="AP48" s="30">
        <f>AO49/AO48</f>
        <v>99.721544715447152</v>
      </c>
    </row>
    <row r="49" spans="2:42" ht="15.6" x14ac:dyDescent="0.3">
      <c r="C49" s="32"/>
      <c r="D49" s="32"/>
      <c r="E49" s="32"/>
      <c r="F49" s="32"/>
      <c r="G49" s="32"/>
      <c r="H49" s="36"/>
      <c r="I49" s="11"/>
      <c r="J49" s="32"/>
      <c r="K49" s="32"/>
      <c r="L49" s="32"/>
      <c r="M49" s="32"/>
      <c r="N49" s="32"/>
      <c r="O49" s="32"/>
      <c r="P49" s="36"/>
      <c r="Q49" s="11"/>
      <c r="R49" s="32"/>
      <c r="S49" s="32"/>
      <c r="T49" s="32"/>
      <c r="U49" s="32"/>
      <c r="V49" s="32"/>
      <c r="W49" s="32"/>
      <c r="X49" s="36"/>
      <c r="Y49" s="11"/>
      <c r="Z49" s="32"/>
      <c r="AA49" s="32"/>
      <c r="AB49" s="32"/>
      <c r="AC49" s="32"/>
      <c r="AD49" s="32"/>
      <c r="AE49" s="32"/>
      <c r="AF49" s="36"/>
      <c r="AG49" s="11"/>
      <c r="AH49" s="32"/>
      <c r="AI49" s="32"/>
      <c r="AJ49" s="32"/>
      <c r="AK49" s="36"/>
      <c r="AL49" s="11"/>
      <c r="AN49" s="35" t="s">
        <v>3</v>
      </c>
      <c r="AO49" s="34">
        <f>I51+Y51+Q51+AG51+AL51</f>
        <v>98126</v>
      </c>
    </row>
    <row r="50" spans="2:42" ht="15.6" x14ac:dyDescent="0.3">
      <c r="B50" s="29" t="s">
        <v>13</v>
      </c>
      <c r="C50" s="32"/>
      <c r="D50" s="32"/>
      <c r="E50" s="32"/>
      <c r="F50" s="32"/>
      <c r="G50" s="32"/>
      <c r="H50" s="4">
        <f>H48+H19</f>
        <v>1061</v>
      </c>
      <c r="I50" s="28">
        <f>I48+I19</f>
        <v>72281</v>
      </c>
      <c r="J50" s="11">
        <f>I50/H50</f>
        <v>68.125353440150803</v>
      </c>
      <c r="K50" s="32"/>
      <c r="L50" s="32"/>
      <c r="M50" s="32"/>
      <c r="N50" s="32"/>
      <c r="O50" s="32"/>
      <c r="P50" s="4">
        <f>P48+P19</f>
        <v>1536</v>
      </c>
      <c r="Q50" s="28">
        <f>Q48+Q19</f>
        <v>114156</v>
      </c>
      <c r="R50" s="11">
        <f>Q50/P50</f>
        <v>74.3203125</v>
      </c>
      <c r="S50" s="32"/>
      <c r="T50" s="32"/>
      <c r="U50" s="32"/>
      <c r="V50" s="32"/>
      <c r="W50" s="32"/>
      <c r="X50" s="4">
        <f>X48+X19</f>
        <v>875</v>
      </c>
      <c r="Y50" s="28">
        <f>Y48+Y19</f>
        <v>63248</v>
      </c>
      <c r="Z50" s="11">
        <f>Y50/X50</f>
        <v>72.283428571428573</v>
      </c>
      <c r="AA50" s="32"/>
      <c r="AB50" s="32"/>
      <c r="AC50" s="32"/>
      <c r="AD50" s="32"/>
      <c r="AE50" s="32"/>
      <c r="AF50" s="4">
        <f>AF48+AF19</f>
        <v>2130</v>
      </c>
      <c r="AG50" s="28">
        <f>AG48+AG19</f>
        <v>160714</v>
      </c>
      <c r="AH50" s="11">
        <f>AG50/AF50</f>
        <v>75.452582159624413</v>
      </c>
      <c r="AI50" s="32"/>
      <c r="AJ50" s="11">
        <f>AL50/AK50</f>
        <v>67.940754039497307</v>
      </c>
      <c r="AK50" s="4">
        <f>AK48+AK19</f>
        <v>557</v>
      </c>
      <c r="AL50" s="28">
        <f>AL48+AL19</f>
        <v>37843</v>
      </c>
    </row>
    <row r="51" spans="2:42" ht="15.6" x14ac:dyDescent="0.3">
      <c r="B51" s="29" t="s">
        <v>15</v>
      </c>
      <c r="C51" s="32"/>
      <c r="D51" s="32"/>
      <c r="E51" s="32"/>
      <c r="F51" s="32"/>
      <c r="G51" s="32"/>
      <c r="H51" s="4">
        <f>SUM(H44:H46)</f>
        <v>213</v>
      </c>
      <c r="I51" s="28">
        <f>SUM(I44:I46)</f>
        <v>21187</v>
      </c>
      <c r="J51" s="32"/>
      <c r="K51" s="32"/>
      <c r="L51" s="32"/>
      <c r="M51" s="32"/>
      <c r="N51" s="32"/>
      <c r="O51" s="32"/>
      <c r="P51" s="4">
        <f>SUM(P44:P46)</f>
        <v>239</v>
      </c>
      <c r="Q51" s="28">
        <f>SUM(Q44:Q46)</f>
        <v>23881</v>
      </c>
      <c r="R51" s="32"/>
      <c r="S51" s="32"/>
      <c r="T51" s="32"/>
      <c r="U51" s="32"/>
      <c r="V51" s="32"/>
      <c r="W51" s="32"/>
      <c r="X51" s="4">
        <f>SUM(X44:X46)</f>
        <v>130</v>
      </c>
      <c r="Y51" s="28">
        <f>SUM(Y44:Y46)</f>
        <v>12930</v>
      </c>
      <c r="Z51" s="32"/>
      <c r="AA51" s="32"/>
      <c r="AB51" s="32"/>
      <c r="AC51" s="32"/>
      <c r="AD51" s="32"/>
      <c r="AE51" s="32"/>
      <c r="AF51" s="4">
        <f>SUM(AF44:AF46)</f>
        <v>274</v>
      </c>
      <c r="AG51" s="28">
        <f>SUM(AG44:AG46)</f>
        <v>27456</v>
      </c>
      <c r="AH51" s="32"/>
      <c r="AI51" s="32"/>
      <c r="AJ51" s="32"/>
      <c r="AK51" s="4">
        <f>SUM(AK44:AK46)</f>
        <v>128</v>
      </c>
      <c r="AL51" s="28">
        <f>SUM(AL44:AL46)</f>
        <v>12672</v>
      </c>
      <c r="AN51" s="27" t="s">
        <v>14</v>
      </c>
      <c r="AO51" s="31">
        <f>H52+X52+P52+AF52+AK52</f>
        <v>586</v>
      </c>
      <c r="AP51" s="30">
        <f>AO52/AO51</f>
        <v>47.244027303754265</v>
      </c>
    </row>
    <row r="52" spans="2:42" ht="15.6" x14ac:dyDescent="0.3">
      <c r="B52" s="29" t="s">
        <v>14</v>
      </c>
      <c r="H52" s="4">
        <f>H47</f>
        <v>143</v>
      </c>
      <c r="I52" s="28">
        <f>I47</f>
        <v>6435</v>
      </c>
      <c r="P52" s="4">
        <f>P47</f>
        <v>122</v>
      </c>
      <c r="Q52" s="28">
        <f>Q47</f>
        <v>5490</v>
      </c>
      <c r="X52" s="4">
        <f>X47</f>
        <v>11</v>
      </c>
      <c r="Y52" s="28">
        <f>Y47</f>
        <v>528</v>
      </c>
      <c r="AF52" s="4">
        <f>AF47</f>
        <v>134</v>
      </c>
      <c r="AG52" s="28">
        <f>AG47</f>
        <v>6432</v>
      </c>
      <c r="AK52" s="4">
        <f>AK47</f>
        <v>176</v>
      </c>
      <c r="AL52" s="28">
        <f>AL47</f>
        <v>8800</v>
      </c>
      <c r="AN52" s="27" t="s">
        <v>3</v>
      </c>
      <c r="AO52" s="26">
        <f>Y52+Q52+I52+AG52+AL52</f>
        <v>27685</v>
      </c>
    </row>
    <row r="55" spans="2:42" s="22" customFormat="1" ht="13.8" customHeight="1" x14ac:dyDescent="0.3">
      <c r="B55" s="25" t="s">
        <v>13</v>
      </c>
      <c r="C55" s="24">
        <v>45748</v>
      </c>
      <c r="D55" s="24">
        <v>45749</v>
      </c>
      <c r="E55" s="24">
        <v>45750</v>
      </c>
      <c r="F55" s="24">
        <v>45751</v>
      </c>
      <c r="G55" s="24">
        <v>45752</v>
      </c>
      <c r="H55" s="23" t="s">
        <v>12</v>
      </c>
      <c r="I55" s="23" t="s">
        <v>11</v>
      </c>
      <c r="J55" s="24">
        <v>45754</v>
      </c>
      <c r="K55" s="24">
        <v>45755</v>
      </c>
      <c r="L55" s="24">
        <v>45756</v>
      </c>
      <c r="M55" s="24">
        <v>45757</v>
      </c>
      <c r="N55" s="24">
        <v>45758</v>
      </c>
      <c r="O55" s="24">
        <v>45759</v>
      </c>
      <c r="P55" s="23" t="s">
        <v>12</v>
      </c>
      <c r="Q55" s="23" t="s">
        <v>11</v>
      </c>
      <c r="R55" s="24">
        <v>45761</v>
      </c>
      <c r="S55" s="24">
        <v>45762</v>
      </c>
      <c r="T55" s="24">
        <v>45763</v>
      </c>
      <c r="U55" s="24">
        <v>45764</v>
      </c>
      <c r="V55" s="24">
        <v>45765</v>
      </c>
      <c r="W55" s="24">
        <v>45766</v>
      </c>
      <c r="X55" s="23" t="s">
        <v>12</v>
      </c>
      <c r="Y55" s="23" t="s">
        <v>11</v>
      </c>
      <c r="Z55" s="24">
        <v>45768</v>
      </c>
      <c r="AA55" s="24">
        <v>45769</v>
      </c>
      <c r="AB55" s="24">
        <v>45770</v>
      </c>
      <c r="AC55" s="24">
        <v>45771</v>
      </c>
      <c r="AD55" s="24">
        <v>45772</v>
      </c>
      <c r="AE55" s="24">
        <v>45773</v>
      </c>
      <c r="AF55" s="23" t="s">
        <v>12</v>
      </c>
      <c r="AG55" s="23" t="s">
        <v>11</v>
      </c>
      <c r="AH55" s="24">
        <v>45771</v>
      </c>
      <c r="AI55" s="24">
        <v>45772</v>
      </c>
      <c r="AJ55" s="24">
        <v>45773</v>
      </c>
      <c r="AK55" s="23" t="s">
        <v>12</v>
      </c>
      <c r="AL55" s="23" t="s">
        <v>11</v>
      </c>
    </row>
    <row r="56" spans="2:42" ht="15" customHeight="1" x14ac:dyDescent="0.3">
      <c r="B56" s="17" t="s">
        <v>10</v>
      </c>
      <c r="C56" s="16">
        <v>88</v>
      </c>
      <c r="D56" s="16">
        <v>150</v>
      </c>
      <c r="E56" s="16">
        <v>240</v>
      </c>
      <c r="F56" s="16">
        <v>146</v>
      </c>
      <c r="G56" s="16">
        <v>150</v>
      </c>
      <c r="H56" s="15">
        <f t="shared" ref="H56:H61" si="10">SUM(C56:G56)</f>
        <v>774</v>
      </c>
      <c r="I56" s="14">
        <f>H56*101</f>
        <v>78174</v>
      </c>
      <c r="J56" s="16">
        <v>157</v>
      </c>
      <c r="K56" s="16">
        <v>220</v>
      </c>
      <c r="L56" s="16">
        <v>195</v>
      </c>
      <c r="M56" s="16">
        <v>118</v>
      </c>
      <c r="N56" s="16">
        <v>120</v>
      </c>
      <c r="O56" s="16">
        <v>130</v>
      </c>
      <c r="P56" s="15">
        <f t="shared" ref="P56:P61" si="11">SUM(J56:O56)</f>
        <v>940</v>
      </c>
      <c r="Q56" s="14">
        <f>P56*101</f>
        <v>94940</v>
      </c>
      <c r="R56" s="16">
        <v>188</v>
      </c>
      <c r="S56" s="16">
        <v>237</v>
      </c>
      <c r="T56" s="16">
        <v>295</v>
      </c>
      <c r="U56" s="16">
        <v>165</v>
      </c>
      <c r="V56" s="62"/>
      <c r="W56" s="62"/>
      <c r="X56" s="15">
        <f t="shared" ref="X56:X61" si="12">SUM(R56:W56)</f>
        <v>885</v>
      </c>
      <c r="Y56" s="14">
        <f>X56*101</f>
        <v>89385</v>
      </c>
      <c r="Z56" s="16">
        <v>443</v>
      </c>
      <c r="AA56" s="16">
        <v>30</v>
      </c>
      <c r="AB56" s="16">
        <v>170</v>
      </c>
      <c r="AC56" s="16">
        <v>240</v>
      </c>
      <c r="AD56" s="16">
        <v>245</v>
      </c>
      <c r="AE56" s="16">
        <v>20</v>
      </c>
      <c r="AF56" s="15">
        <f t="shared" ref="AF56:AF61" si="13">SUM(Z56:AE56)</f>
        <v>1148</v>
      </c>
      <c r="AG56" s="14">
        <f>AF56*101</f>
        <v>115948</v>
      </c>
      <c r="AH56" s="16">
        <v>96</v>
      </c>
      <c r="AI56" s="16">
        <v>169</v>
      </c>
      <c r="AJ56" s="16">
        <v>350</v>
      </c>
      <c r="AK56" s="15">
        <f t="shared" ref="AK56:AK61" si="14">SUM(AH56:AJ56)</f>
        <v>615</v>
      </c>
      <c r="AL56" s="14">
        <f>AK56*101</f>
        <v>62115</v>
      </c>
    </row>
    <row r="57" spans="2:42" x14ac:dyDescent="0.3">
      <c r="B57" s="17" t="s">
        <v>9</v>
      </c>
      <c r="C57" s="16">
        <v>104</v>
      </c>
      <c r="D57" s="16">
        <v>165</v>
      </c>
      <c r="E57" s="16">
        <v>190</v>
      </c>
      <c r="F57" s="16">
        <v>131</v>
      </c>
      <c r="G57" s="16">
        <v>140</v>
      </c>
      <c r="H57" s="15">
        <f t="shared" si="10"/>
        <v>730</v>
      </c>
      <c r="I57" s="14">
        <f>H57*99</f>
        <v>72270</v>
      </c>
      <c r="J57" s="16">
        <v>242</v>
      </c>
      <c r="K57" s="16">
        <v>230</v>
      </c>
      <c r="L57" s="16">
        <v>130</v>
      </c>
      <c r="M57" s="16">
        <v>60</v>
      </c>
      <c r="N57" s="16">
        <v>150</v>
      </c>
      <c r="O57" s="16">
        <v>205</v>
      </c>
      <c r="P57" s="15">
        <f t="shared" si="11"/>
        <v>1017</v>
      </c>
      <c r="Q57" s="14">
        <f>P57*99</f>
        <v>100683</v>
      </c>
      <c r="R57" s="16">
        <v>153</v>
      </c>
      <c r="S57" s="16">
        <v>232</v>
      </c>
      <c r="T57" s="16">
        <v>240</v>
      </c>
      <c r="U57" s="16">
        <v>165</v>
      </c>
      <c r="V57" s="62"/>
      <c r="W57" s="62"/>
      <c r="X57" s="15">
        <f t="shared" si="12"/>
        <v>790</v>
      </c>
      <c r="Y57" s="14">
        <f>X57*99</f>
        <v>78210</v>
      </c>
      <c r="Z57" s="16">
        <v>372</v>
      </c>
      <c r="AA57" s="16">
        <v>15</v>
      </c>
      <c r="AB57" s="16">
        <v>90</v>
      </c>
      <c r="AC57" s="16">
        <v>270</v>
      </c>
      <c r="AD57" s="16">
        <v>277</v>
      </c>
      <c r="AE57" s="16">
        <v>10</v>
      </c>
      <c r="AF57" s="15">
        <f t="shared" si="13"/>
        <v>1034</v>
      </c>
      <c r="AG57" s="14">
        <f>AF57*99</f>
        <v>102366</v>
      </c>
      <c r="AH57" s="16">
        <v>96</v>
      </c>
      <c r="AI57" s="16">
        <v>166</v>
      </c>
      <c r="AJ57" s="16">
        <v>335</v>
      </c>
      <c r="AK57" s="15">
        <f t="shared" si="14"/>
        <v>597</v>
      </c>
      <c r="AL57" s="14">
        <f>AK57*99</f>
        <v>59103</v>
      </c>
    </row>
    <row r="58" spans="2:42" ht="15.6" x14ac:dyDescent="0.3">
      <c r="B58" s="17" t="s">
        <v>8</v>
      </c>
      <c r="C58" s="16">
        <v>31</v>
      </c>
      <c r="D58" s="16">
        <v>35</v>
      </c>
      <c r="E58" s="16">
        <v>35</v>
      </c>
      <c r="F58" s="16">
        <v>36</v>
      </c>
      <c r="G58" s="16">
        <v>20</v>
      </c>
      <c r="H58" s="15">
        <f t="shared" si="10"/>
        <v>157</v>
      </c>
      <c r="I58" s="14">
        <f>H58*101</f>
        <v>15857</v>
      </c>
      <c r="J58" s="16">
        <v>51</v>
      </c>
      <c r="K58" s="16">
        <v>62</v>
      </c>
      <c r="L58" s="16">
        <v>75</v>
      </c>
      <c r="M58" s="16">
        <v>5</v>
      </c>
      <c r="N58" s="16">
        <v>45</v>
      </c>
      <c r="O58" s="16">
        <v>25</v>
      </c>
      <c r="P58" s="15">
        <f t="shared" si="11"/>
        <v>263</v>
      </c>
      <c r="Q58" s="14">
        <f>P58*101</f>
        <v>26563</v>
      </c>
      <c r="R58" s="16">
        <v>39</v>
      </c>
      <c r="S58" s="16">
        <v>47</v>
      </c>
      <c r="T58" s="16">
        <v>75</v>
      </c>
      <c r="U58" s="16">
        <v>14</v>
      </c>
      <c r="V58" s="62"/>
      <c r="W58" s="62"/>
      <c r="X58" s="15">
        <f t="shared" si="12"/>
        <v>175</v>
      </c>
      <c r="Y58" s="14">
        <f>X58*101</f>
        <v>17675</v>
      </c>
      <c r="Z58" s="16">
        <v>76</v>
      </c>
      <c r="AA58" s="16">
        <v>5</v>
      </c>
      <c r="AB58" s="16">
        <v>46</v>
      </c>
      <c r="AC58" s="16">
        <v>50</v>
      </c>
      <c r="AD58" s="16">
        <v>82</v>
      </c>
      <c r="AE58" s="16"/>
      <c r="AF58" s="15">
        <f t="shared" si="13"/>
        <v>259</v>
      </c>
      <c r="AG58" s="14">
        <f>AF58*101</f>
        <v>26159</v>
      </c>
      <c r="AH58" s="16">
        <v>21</v>
      </c>
      <c r="AI58" s="16">
        <v>34</v>
      </c>
      <c r="AJ58" s="16">
        <v>75</v>
      </c>
      <c r="AK58" s="15">
        <f t="shared" si="14"/>
        <v>130</v>
      </c>
      <c r="AL58" s="14">
        <f>AK58*101</f>
        <v>13130</v>
      </c>
      <c r="AN58" s="19" t="s">
        <v>7</v>
      </c>
      <c r="AO58" s="21">
        <f>H64+P64+X64+AF64+AK64</f>
        <v>10429</v>
      </c>
      <c r="AP58" s="11">
        <f>AO59/AO58</f>
        <v>98.709176335219098</v>
      </c>
    </row>
    <row r="59" spans="2:42" ht="15.6" x14ac:dyDescent="0.3">
      <c r="B59" s="17" t="s">
        <v>6</v>
      </c>
      <c r="C59" s="16">
        <v>3</v>
      </c>
      <c r="D59" s="16">
        <v>4</v>
      </c>
      <c r="E59" s="16"/>
      <c r="F59" s="16">
        <v>5</v>
      </c>
      <c r="G59" s="16">
        <v>5</v>
      </c>
      <c r="H59" s="15">
        <f t="shared" si="10"/>
        <v>17</v>
      </c>
      <c r="I59" s="14">
        <f>H59*84</f>
        <v>1428</v>
      </c>
      <c r="J59" s="16">
        <v>1</v>
      </c>
      <c r="K59" s="16">
        <v>107</v>
      </c>
      <c r="L59" s="16">
        <v>30</v>
      </c>
      <c r="M59" s="16"/>
      <c r="N59" s="16">
        <v>5</v>
      </c>
      <c r="O59" s="16">
        <v>8</v>
      </c>
      <c r="P59" s="15">
        <f t="shared" si="11"/>
        <v>151</v>
      </c>
      <c r="Q59" s="14">
        <f>P59*84</f>
        <v>12684</v>
      </c>
      <c r="R59" s="16" t="s">
        <v>65</v>
      </c>
      <c r="S59" s="16" t="s">
        <v>65</v>
      </c>
      <c r="T59" s="16">
        <v>500</v>
      </c>
      <c r="U59" s="16" t="s">
        <v>65</v>
      </c>
      <c r="V59" s="62"/>
      <c r="W59" s="62"/>
      <c r="X59" s="15">
        <f t="shared" si="12"/>
        <v>500</v>
      </c>
      <c r="Y59" s="14">
        <f>X59*84</f>
        <v>42000</v>
      </c>
      <c r="Z59" s="16">
        <v>14</v>
      </c>
      <c r="AA59" s="16">
        <v>140</v>
      </c>
      <c r="AB59" s="16">
        <v>40</v>
      </c>
      <c r="AC59" s="16">
        <v>5</v>
      </c>
      <c r="AD59" s="16">
        <v>1</v>
      </c>
      <c r="AE59" s="16">
        <v>1</v>
      </c>
      <c r="AF59" s="15">
        <f t="shared" si="13"/>
        <v>201</v>
      </c>
      <c r="AG59" s="14">
        <f>AF59*84</f>
        <v>16884</v>
      </c>
      <c r="AH59" s="16">
        <v>30</v>
      </c>
      <c r="AI59" s="16">
        <v>13</v>
      </c>
      <c r="AJ59" s="16">
        <v>3</v>
      </c>
      <c r="AK59" s="15">
        <f t="shared" si="14"/>
        <v>46</v>
      </c>
      <c r="AL59" s="14">
        <f>AK59*84</f>
        <v>3864</v>
      </c>
      <c r="AN59" s="19" t="s">
        <v>3</v>
      </c>
      <c r="AO59" s="18">
        <f>I64+Q64+Y64+AG64+AL64</f>
        <v>1029438</v>
      </c>
    </row>
    <row r="60" spans="2:42" x14ac:dyDescent="0.3">
      <c r="B60" s="17" t="s">
        <v>4</v>
      </c>
      <c r="C60" s="16">
        <v>6</v>
      </c>
      <c r="D60" s="16">
        <v>45</v>
      </c>
      <c r="E60" s="16">
        <v>55</v>
      </c>
      <c r="F60" s="16">
        <v>48</v>
      </c>
      <c r="G60" s="16">
        <v>30</v>
      </c>
      <c r="H60" s="15">
        <f t="shared" si="10"/>
        <v>184</v>
      </c>
      <c r="I60" s="14">
        <f>H60*100</f>
        <v>18400</v>
      </c>
      <c r="J60" s="16">
        <v>179</v>
      </c>
      <c r="K60" s="16">
        <v>39</v>
      </c>
      <c r="L60" s="16">
        <v>15</v>
      </c>
      <c r="M60" s="16"/>
      <c r="N60" s="16">
        <v>105</v>
      </c>
      <c r="O60" s="16">
        <v>5</v>
      </c>
      <c r="P60" s="15">
        <f t="shared" si="11"/>
        <v>343</v>
      </c>
      <c r="Q60" s="14">
        <f>P60*100</f>
        <v>34300</v>
      </c>
      <c r="R60" s="16">
        <v>46</v>
      </c>
      <c r="S60" s="16">
        <v>33</v>
      </c>
      <c r="T60" s="16">
        <v>28</v>
      </c>
      <c r="U60" s="16">
        <v>58</v>
      </c>
      <c r="V60" s="62"/>
      <c r="W60" s="62"/>
      <c r="X60" s="15">
        <f t="shared" si="12"/>
        <v>165</v>
      </c>
      <c r="Y60" s="14">
        <f>X60*100</f>
        <v>16500</v>
      </c>
      <c r="Z60" s="16">
        <v>61</v>
      </c>
      <c r="AA60" s="16"/>
      <c r="AB60" s="16">
        <v>0</v>
      </c>
      <c r="AC60" s="16">
        <v>75</v>
      </c>
      <c r="AD60" s="16">
        <v>27</v>
      </c>
      <c r="AE60" s="16">
        <v>50</v>
      </c>
      <c r="AF60" s="15">
        <f t="shared" si="13"/>
        <v>213</v>
      </c>
      <c r="AG60" s="14">
        <f>AF60*100</f>
        <v>21300</v>
      </c>
      <c r="AH60" s="16">
        <v>30</v>
      </c>
      <c r="AI60" s="16">
        <v>27</v>
      </c>
      <c r="AJ60" s="16">
        <v>20</v>
      </c>
      <c r="AK60" s="15">
        <f t="shared" si="14"/>
        <v>77</v>
      </c>
      <c r="AL60" s="14">
        <f>AK60*100</f>
        <v>7700</v>
      </c>
    </row>
    <row r="61" spans="2:42" ht="15.6" x14ac:dyDescent="0.3">
      <c r="B61" s="17" t="s">
        <v>5</v>
      </c>
      <c r="C61" s="16"/>
      <c r="D61" s="16" t="s">
        <v>65</v>
      </c>
      <c r="E61" s="16"/>
      <c r="F61" s="16">
        <v>1</v>
      </c>
      <c r="G61" s="16"/>
      <c r="H61" s="15">
        <f t="shared" si="10"/>
        <v>1</v>
      </c>
      <c r="I61" s="14">
        <f>H61*115</f>
        <v>115</v>
      </c>
      <c r="J61" s="16"/>
      <c r="K61" s="16"/>
      <c r="L61" s="16"/>
      <c r="M61" s="16"/>
      <c r="N61" s="16"/>
      <c r="O61" s="16"/>
      <c r="P61" s="15">
        <f t="shared" si="11"/>
        <v>0</v>
      </c>
      <c r="Q61" s="14">
        <f>P61*115</f>
        <v>0</v>
      </c>
      <c r="R61" s="16"/>
      <c r="S61" s="16">
        <v>1</v>
      </c>
      <c r="T61" s="16"/>
      <c r="U61" s="16">
        <v>1</v>
      </c>
      <c r="V61" s="62"/>
      <c r="W61" s="62"/>
      <c r="X61" s="15">
        <f t="shared" si="12"/>
        <v>2</v>
      </c>
      <c r="Y61" s="14">
        <f>X61*115</f>
        <v>230</v>
      </c>
      <c r="Z61" s="16"/>
      <c r="AA61" s="16"/>
      <c r="AB61" s="16"/>
      <c r="AC61" s="16"/>
      <c r="AD61" s="16">
        <v>1</v>
      </c>
      <c r="AE61" s="16">
        <v>5</v>
      </c>
      <c r="AF61" s="15">
        <f t="shared" si="13"/>
        <v>6</v>
      </c>
      <c r="AG61" s="14">
        <f>AF61*115</f>
        <v>690</v>
      </c>
      <c r="AH61" s="16"/>
      <c r="AI61" s="16"/>
      <c r="AJ61" s="16"/>
      <c r="AK61" s="15">
        <f t="shared" si="14"/>
        <v>0</v>
      </c>
      <c r="AL61" s="14">
        <f>AK61*115</f>
        <v>0</v>
      </c>
      <c r="AN61" s="13" t="s">
        <v>4</v>
      </c>
      <c r="AO61" s="12">
        <f>H60+P60+X60+AF60+AK60</f>
        <v>982</v>
      </c>
      <c r="AP61" s="11">
        <f>AO62/AO61</f>
        <v>100</v>
      </c>
    </row>
    <row r="62" spans="2:42" ht="15.6" x14ac:dyDescent="0.3">
      <c r="C62" s="10"/>
      <c r="D62" s="10"/>
      <c r="E62" s="10"/>
      <c r="F62" s="10"/>
      <c r="G62" s="10"/>
      <c r="H62" s="9">
        <f>SUM(H56:H61)</f>
        <v>1863</v>
      </c>
      <c r="I62" s="8">
        <f>SUM(I56:I61)</f>
        <v>186244</v>
      </c>
      <c r="J62" s="10"/>
      <c r="K62" s="10"/>
      <c r="L62" s="10"/>
      <c r="M62" s="10"/>
      <c r="N62" s="10"/>
      <c r="O62" s="10"/>
      <c r="P62" s="9">
        <f>SUM(P56:P61)</f>
        <v>2714</v>
      </c>
      <c r="Q62" s="8">
        <f>SUM(Q56:Q61)</f>
        <v>269170</v>
      </c>
      <c r="R62" s="10"/>
      <c r="S62" s="10"/>
      <c r="T62" s="10"/>
      <c r="U62" s="10"/>
      <c r="V62" s="10"/>
      <c r="W62" s="10"/>
      <c r="X62" s="9">
        <f>SUM(X56:X61)</f>
        <v>2517</v>
      </c>
      <c r="Y62" s="8">
        <f>SUM(Y56:Y61)</f>
        <v>244000</v>
      </c>
      <c r="Z62" s="10"/>
      <c r="AA62" s="10"/>
      <c r="AB62" s="10"/>
      <c r="AC62" s="10"/>
      <c r="AD62" s="10"/>
      <c r="AE62" s="10"/>
      <c r="AF62" s="9">
        <f>SUM(AF56:AF61)</f>
        <v>2861</v>
      </c>
      <c r="AG62" s="8">
        <f>SUM(AG56:AG61)</f>
        <v>283347</v>
      </c>
      <c r="AH62" s="10"/>
      <c r="AI62" s="10"/>
      <c r="AJ62" s="10"/>
      <c r="AK62" s="9">
        <f>SUM(AK56:AK61)</f>
        <v>1465</v>
      </c>
      <c r="AL62" s="8">
        <f>SUM(AL56:AL61)</f>
        <v>145912</v>
      </c>
      <c r="AN62" s="7" t="s">
        <v>3</v>
      </c>
      <c r="AO62" s="6">
        <f>I60+Q60+Y60+AG60+AL60</f>
        <v>98200</v>
      </c>
    </row>
    <row r="64" spans="2:42" ht="15.6" x14ac:dyDescent="0.3">
      <c r="H64" s="4">
        <f>H56+H57+H58+H59</f>
        <v>1678</v>
      </c>
      <c r="I64" s="3">
        <f>I56+I57+I58+I59</f>
        <v>167729</v>
      </c>
      <c r="P64" s="4">
        <f>P56+P57+P58+P59</f>
        <v>2371</v>
      </c>
      <c r="Q64" s="3">
        <f>Q56+Q57+Q58+Q59</f>
        <v>234870</v>
      </c>
      <c r="X64" s="4">
        <f>X56+X57+X58+X59</f>
        <v>2350</v>
      </c>
      <c r="Y64" s="3">
        <f>Y56+Y57+Y58+Y59</f>
        <v>227270</v>
      </c>
      <c r="AF64" s="4">
        <f>AF56+AF57+AF58+AF59</f>
        <v>2642</v>
      </c>
      <c r="AG64" s="3">
        <f>AG56+AG57+AG58+AG59</f>
        <v>261357</v>
      </c>
      <c r="AK64" s="4">
        <f>AK56+AK57+AK58+AK59</f>
        <v>1388</v>
      </c>
      <c r="AL64" s="3">
        <f>AL56+AL57+AL58+AL59</f>
        <v>138212</v>
      </c>
    </row>
    <row r="66" spans="40:41" x14ac:dyDescent="0.3">
      <c r="AN66" s="2" t="s">
        <v>1</v>
      </c>
      <c r="AO66" s="1">
        <f>AO62+AO59+AO20</f>
        <v>1575880</v>
      </c>
    </row>
    <row r="1964" spans="9:9" x14ac:dyDescent="0.3">
      <c r="I1964" t="s">
        <v>0</v>
      </c>
    </row>
  </sheetData>
  <mergeCells count="2">
    <mergeCell ref="AS3:AT3"/>
    <mergeCell ref="AN24:AO24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6536-7B59-4D5A-8048-134996B92BCD}">
  <dimension ref="B3:AT1964"/>
  <sheetViews>
    <sheetView zoomScale="99" zoomScaleNormal="99" workbookViewId="0">
      <pane xSplit="2" ySplit="3" topLeftCell="AH10" activePane="bottomRight" state="frozen"/>
      <selection pane="topRight" activeCell="C1" sqref="C1"/>
      <selection pane="bottomLeft" activeCell="A4" sqref="A4"/>
      <selection pane="bottomRight" activeCell="AK28" sqref="AK28"/>
    </sheetView>
  </sheetViews>
  <sheetFormatPr baseColWidth="10" defaultRowHeight="14.4" x14ac:dyDescent="0.3"/>
  <cols>
    <col min="1" max="1" width="5.6640625" customWidth="1"/>
    <col min="2" max="2" width="18.33203125" customWidth="1"/>
    <col min="5" max="5" width="13.33203125" customWidth="1"/>
    <col min="6" max="6" width="16" customWidth="1"/>
    <col min="13" max="13" width="13.33203125" customWidth="1"/>
    <col min="14" max="14" width="16.109375" customWidth="1"/>
    <col min="21" max="21" width="13.33203125" customWidth="1"/>
    <col min="22" max="22" width="16.109375" customWidth="1"/>
    <col min="29" max="29" width="13.33203125" customWidth="1"/>
    <col min="30" max="30" width="16.109375" customWidth="1"/>
    <col min="37" max="37" width="13.33203125" customWidth="1"/>
    <col min="38" max="38" width="20.21875" customWidth="1"/>
    <col min="39" max="39" width="6.5546875" customWidth="1"/>
    <col min="40" max="40" width="15.33203125" customWidth="1"/>
    <col min="41" max="41" width="19.109375" customWidth="1"/>
    <col min="42" max="42" width="13.88671875" customWidth="1"/>
    <col min="44" max="44" width="9.77734375" customWidth="1"/>
    <col min="45" max="45" width="17.109375" customWidth="1"/>
    <col min="46" max="46" width="16.77734375" customWidth="1"/>
  </cols>
  <sheetData>
    <row r="3" spans="2:46" s="22" customFormat="1" ht="13.8" customHeight="1" x14ac:dyDescent="0.3">
      <c r="B3" s="25" t="s">
        <v>13</v>
      </c>
      <c r="C3" s="24">
        <v>45779</v>
      </c>
      <c r="D3" s="24">
        <v>45780</v>
      </c>
      <c r="E3" s="23" t="s">
        <v>63</v>
      </c>
      <c r="F3" s="23" t="s">
        <v>11</v>
      </c>
      <c r="G3" s="24">
        <v>45782</v>
      </c>
      <c r="H3" s="24">
        <v>45783</v>
      </c>
      <c r="I3" s="24">
        <v>45784</v>
      </c>
      <c r="J3" s="24">
        <v>45785</v>
      </c>
      <c r="K3" s="24">
        <v>45786</v>
      </c>
      <c r="L3" s="24">
        <v>45787</v>
      </c>
      <c r="M3" s="23" t="s">
        <v>63</v>
      </c>
      <c r="N3" s="23" t="s">
        <v>11</v>
      </c>
      <c r="O3" s="24">
        <v>45789</v>
      </c>
      <c r="P3" s="24">
        <v>45790</v>
      </c>
      <c r="Q3" s="24">
        <v>45791</v>
      </c>
      <c r="R3" s="24">
        <v>45792</v>
      </c>
      <c r="S3" s="24">
        <v>45793</v>
      </c>
      <c r="T3" s="24">
        <v>45794</v>
      </c>
      <c r="U3" s="23" t="s">
        <v>63</v>
      </c>
      <c r="V3" s="23" t="s">
        <v>11</v>
      </c>
      <c r="W3" s="24">
        <v>45796</v>
      </c>
      <c r="X3" s="24">
        <v>45797</v>
      </c>
      <c r="Y3" s="24">
        <v>45798</v>
      </c>
      <c r="Z3" s="24">
        <v>45799</v>
      </c>
      <c r="AA3" s="24">
        <v>45800</v>
      </c>
      <c r="AB3" s="24">
        <v>45801</v>
      </c>
      <c r="AC3" s="23" t="s">
        <v>63</v>
      </c>
      <c r="AD3" s="23" t="s">
        <v>11</v>
      </c>
      <c r="AE3" s="24">
        <v>45803</v>
      </c>
      <c r="AF3" s="24">
        <v>45804</v>
      </c>
      <c r="AG3" s="24">
        <v>45805</v>
      </c>
      <c r="AH3" s="24">
        <v>45806</v>
      </c>
      <c r="AI3" s="24">
        <v>45807</v>
      </c>
      <c r="AJ3" s="24">
        <v>45808</v>
      </c>
      <c r="AK3" s="23" t="s">
        <v>63</v>
      </c>
      <c r="AL3" s="23" t="s">
        <v>11</v>
      </c>
      <c r="AS3" s="68" t="s">
        <v>71</v>
      </c>
      <c r="AT3" s="69"/>
    </row>
    <row r="4" spans="2:46" ht="15.6" customHeight="1" x14ac:dyDescent="0.3">
      <c r="B4" s="17" t="s">
        <v>62</v>
      </c>
      <c r="C4" s="61">
        <v>112</v>
      </c>
      <c r="D4" s="16">
        <v>15</v>
      </c>
      <c r="E4" s="15">
        <f>SUM(C4:D4)</f>
        <v>127</v>
      </c>
      <c r="F4" s="14">
        <f>E4*60</f>
        <v>7620</v>
      </c>
      <c r="G4" s="16">
        <v>49</v>
      </c>
      <c r="H4" s="16">
        <v>55</v>
      </c>
      <c r="I4" s="16">
        <v>40</v>
      </c>
      <c r="J4" s="16">
        <v>20</v>
      </c>
      <c r="K4" s="16">
        <v>56</v>
      </c>
      <c r="L4" s="16">
        <v>20</v>
      </c>
      <c r="M4" s="15">
        <f>SUM(G4:L4)</f>
        <v>240</v>
      </c>
      <c r="N4" s="14">
        <f>M4*60</f>
        <v>14400</v>
      </c>
      <c r="O4" s="16">
        <v>11</v>
      </c>
      <c r="P4" s="16">
        <v>28</v>
      </c>
      <c r="Q4" s="16">
        <v>34</v>
      </c>
      <c r="R4" s="16">
        <v>50</v>
      </c>
      <c r="S4" s="16">
        <v>142</v>
      </c>
      <c r="T4" s="16">
        <v>16</v>
      </c>
      <c r="U4" s="15">
        <f>SUM(O4:T4)</f>
        <v>281</v>
      </c>
      <c r="V4" s="14">
        <f>U4*60</f>
        <v>16860</v>
      </c>
      <c r="W4" s="16">
        <v>32</v>
      </c>
      <c r="X4" s="16">
        <v>76</v>
      </c>
      <c r="Y4" s="16">
        <v>65</v>
      </c>
      <c r="Z4" s="16">
        <v>90</v>
      </c>
      <c r="AA4" s="16" t="s">
        <v>65</v>
      </c>
      <c r="AB4" s="16">
        <v>34</v>
      </c>
      <c r="AC4" s="15">
        <f>SUM(W4:AB4)</f>
        <v>297</v>
      </c>
      <c r="AD4" s="14">
        <f>AC4*60</f>
        <v>17820</v>
      </c>
      <c r="AE4" s="16">
        <v>8</v>
      </c>
      <c r="AF4" s="16">
        <v>23</v>
      </c>
      <c r="AG4" s="16">
        <v>40</v>
      </c>
      <c r="AH4" s="16">
        <v>16</v>
      </c>
      <c r="AI4" s="16">
        <v>20</v>
      </c>
      <c r="AJ4" s="16"/>
      <c r="AK4" s="15">
        <f>SUM(AE4:AJ4)</f>
        <v>107</v>
      </c>
      <c r="AL4" s="14">
        <f>AK4*60</f>
        <v>6420</v>
      </c>
      <c r="AS4" s="60" t="s">
        <v>48</v>
      </c>
      <c r="AT4" s="48">
        <f>AO19</f>
        <v>7033</v>
      </c>
    </row>
    <row r="5" spans="2:46" ht="15.6" x14ac:dyDescent="0.3">
      <c r="B5" s="17" t="s">
        <v>61</v>
      </c>
      <c r="C5" s="61">
        <v>182</v>
      </c>
      <c r="D5" s="16">
        <v>20</v>
      </c>
      <c r="E5" s="15">
        <f t="shared" ref="E5:E18" si="0">SUM(C5:D5)</f>
        <v>202</v>
      </c>
      <c r="F5" s="14">
        <f>E5*60</f>
        <v>12120</v>
      </c>
      <c r="G5" s="16">
        <v>246</v>
      </c>
      <c r="H5" s="16">
        <v>50</v>
      </c>
      <c r="I5" s="16">
        <v>50</v>
      </c>
      <c r="J5" s="16">
        <v>25</v>
      </c>
      <c r="K5" s="16">
        <v>27</v>
      </c>
      <c r="L5" s="16" t="s">
        <v>65</v>
      </c>
      <c r="M5" s="15">
        <f t="shared" ref="M5:M18" si="1">SUM(G5:L5)</f>
        <v>398</v>
      </c>
      <c r="N5" s="14">
        <f>M5*60</f>
        <v>23880</v>
      </c>
      <c r="O5" s="16">
        <v>6</v>
      </c>
      <c r="P5" s="16">
        <v>20</v>
      </c>
      <c r="Q5" s="16">
        <v>50</v>
      </c>
      <c r="R5" s="16">
        <v>254</v>
      </c>
      <c r="S5" s="16">
        <v>33</v>
      </c>
      <c r="T5" s="16" t="s">
        <v>65</v>
      </c>
      <c r="U5" s="15">
        <f t="shared" ref="U5:U18" si="2">SUM(O5:T5)</f>
        <v>363</v>
      </c>
      <c r="V5" s="14">
        <f>U5*60</f>
        <v>21780</v>
      </c>
      <c r="W5" s="16">
        <v>36</v>
      </c>
      <c r="X5" s="16">
        <v>37</v>
      </c>
      <c r="Y5" s="16">
        <v>63</v>
      </c>
      <c r="Z5" s="16">
        <v>47</v>
      </c>
      <c r="AA5" s="16">
        <v>22</v>
      </c>
      <c r="AB5" s="16">
        <v>40</v>
      </c>
      <c r="AC5" s="15">
        <f t="shared" ref="AC5:AC16" si="3">SUM(W5:AB5)</f>
        <v>245</v>
      </c>
      <c r="AD5" s="14">
        <f>AC5*60</f>
        <v>14700</v>
      </c>
      <c r="AE5" s="16">
        <v>35</v>
      </c>
      <c r="AF5" s="16">
        <v>86</v>
      </c>
      <c r="AG5" s="16">
        <v>37</v>
      </c>
      <c r="AH5" s="16">
        <v>17</v>
      </c>
      <c r="AI5" s="16">
        <v>16</v>
      </c>
      <c r="AJ5" s="16"/>
      <c r="AK5" s="15">
        <f t="shared" ref="AK5:AK17" si="4">SUM(AE5:AJ5)</f>
        <v>191</v>
      </c>
      <c r="AL5" s="14">
        <f>AK5*60</f>
        <v>11460</v>
      </c>
      <c r="AS5" s="60" t="s">
        <v>3</v>
      </c>
      <c r="AT5" s="46">
        <f>AO20</f>
        <v>497850</v>
      </c>
    </row>
    <row r="6" spans="2:46" ht="15.6" x14ac:dyDescent="0.3">
      <c r="B6" s="17" t="s">
        <v>60</v>
      </c>
      <c r="C6" s="61">
        <v>10</v>
      </c>
      <c r="D6" s="16" t="s">
        <v>65</v>
      </c>
      <c r="E6" s="15">
        <f t="shared" si="0"/>
        <v>10</v>
      </c>
      <c r="F6" s="14">
        <f>E6*61</f>
        <v>610</v>
      </c>
      <c r="G6" s="16">
        <v>1</v>
      </c>
      <c r="H6" s="16">
        <v>5</v>
      </c>
      <c r="I6" s="16" t="s">
        <v>65</v>
      </c>
      <c r="J6" s="16" t="s">
        <v>65</v>
      </c>
      <c r="K6" s="16" t="s">
        <v>65</v>
      </c>
      <c r="L6" s="16" t="s">
        <v>65</v>
      </c>
      <c r="M6" s="15">
        <f t="shared" si="1"/>
        <v>6</v>
      </c>
      <c r="N6" s="14">
        <f>M6*61</f>
        <v>366</v>
      </c>
      <c r="O6" s="16"/>
      <c r="P6" s="16">
        <v>1</v>
      </c>
      <c r="Q6" s="16">
        <v>23</v>
      </c>
      <c r="R6" s="16">
        <v>1</v>
      </c>
      <c r="S6" s="16">
        <v>25</v>
      </c>
      <c r="T6" s="16" t="s">
        <v>65</v>
      </c>
      <c r="U6" s="15">
        <f t="shared" si="2"/>
        <v>50</v>
      </c>
      <c r="V6" s="14">
        <f>U6*61</f>
        <v>3050</v>
      </c>
      <c r="W6" s="16">
        <v>6</v>
      </c>
      <c r="X6" s="16">
        <v>1</v>
      </c>
      <c r="Y6" s="16">
        <v>13</v>
      </c>
      <c r="Z6" s="16">
        <v>6</v>
      </c>
      <c r="AA6" s="16" t="s">
        <v>65</v>
      </c>
      <c r="AB6" s="16">
        <v>7</v>
      </c>
      <c r="AC6" s="15">
        <f t="shared" si="3"/>
        <v>33</v>
      </c>
      <c r="AD6" s="14">
        <f>AC6*61</f>
        <v>2013</v>
      </c>
      <c r="AE6" s="16">
        <v>5</v>
      </c>
      <c r="AF6" s="16" t="s">
        <v>65</v>
      </c>
      <c r="AG6" s="16">
        <v>8</v>
      </c>
      <c r="AH6" s="16" t="s">
        <v>65</v>
      </c>
      <c r="AI6" s="16">
        <v>5</v>
      </c>
      <c r="AJ6" s="16"/>
      <c r="AK6" s="15">
        <f t="shared" si="4"/>
        <v>18</v>
      </c>
      <c r="AL6" s="14">
        <f>AK6*61</f>
        <v>1098</v>
      </c>
      <c r="AS6" s="59" t="s">
        <v>15</v>
      </c>
      <c r="AT6" s="37">
        <f>AO48</f>
        <v>1126</v>
      </c>
    </row>
    <row r="7" spans="2:46" ht="15.6" x14ac:dyDescent="0.3">
      <c r="B7" s="17" t="s">
        <v>59</v>
      </c>
      <c r="C7" s="61">
        <v>40</v>
      </c>
      <c r="D7" s="16" t="s">
        <v>65</v>
      </c>
      <c r="E7" s="15">
        <f t="shared" si="0"/>
        <v>40</v>
      </c>
      <c r="F7" s="14">
        <f>E7*60</f>
        <v>2400</v>
      </c>
      <c r="G7" s="16">
        <v>10</v>
      </c>
      <c r="H7" s="16">
        <v>37</v>
      </c>
      <c r="I7" s="16">
        <v>22</v>
      </c>
      <c r="J7" s="16">
        <v>10</v>
      </c>
      <c r="K7" s="16">
        <v>8</v>
      </c>
      <c r="L7" s="16">
        <v>35</v>
      </c>
      <c r="M7" s="15">
        <f t="shared" si="1"/>
        <v>122</v>
      </c>
      <c r="N7" s="14">
        <f>M7*60</f>
        <v>7320</v>
      </c>
      <c r="O7" s="16"/>
      <c r="P7" s="16" t="s">
        <v>65</v>
      </c>
      <c r="Q7" s="16">
        <v>4</v>
      </c>
      <c r="R7" s="16" t="s">
        <v>65</v>
      </c>
      <c r="S7" s="16" t="s">
        <v>65</v>
      </c>
      <c r="T7" s="16">
        <v>16</v>
      </c>
      <c r="U7" s="15">
        <f t="shared" si="2"/>
        <v>20</v>
      </c>
      <c r="V7" s="14">
        <f>U7*60</f>
        <v>1200</v>
      </c>
      <c r="W7" s="16">
        <v>19</v>
      </c>
      <c r="X7" s="16">
        <v>41</v>
      </c>
      <c r="Y7" s="16">
        <v>5</v>
      </c>
      <c r="Z7" s="16">
        <v>19</v>
      </c>
      <c r="AA7" s="16">
        <v>25</v>
      </c>
      <c r="AB7" s="16">
        <v>32</v>
      </c>
      <c r="AC7" s="15">
        <f t="shared" si="3"/>
        <v>141</v>
      </c>
      <c r="AD7" s="14">
        <f>AC7*60</f>
        <v>8460</v>
      </c>
      <c r="AE7" s="16">
        <v>1</v>
      </c>
      <c r="AF7" s="16">
        <v>6</v>
      </c>
      <c r="AG7" s="16" t="s">
        <v>65</v>
      </c>
      <c r="AH7" s="16">
        <v>16</v>
      </c>
      <c r="AI7" s="16">
        <v>10</v>
      </c>
      <c r="AJ7" s="16">
        <v>6</v>
      </c>
      <c r="AK7" s="15">
        <f t="shared" si="4"/>
        <v>39</v>
      </c>
      <c r="AL7" s="14">
        <f>AK7*60</f>
        <v>2340</v>
      </c>
      <c r="AS7" s="59" t="s">
        <v>3</v>
      </c>
      <c r="AT7" s="34">
        <f>AO49</f>
        <v>110274</v>
      </c>
    </row>
    <row r="8" spans="2:46" ht="15.6" x14ac:dyDescent="0.3">
      <c r="B8" s="17" t="s">
        <v>58</v>
      </c>
      <c r="C8" s="61">
        <v>30</v>
      </c>
      <c r="D8" s="16" t="s">
        <v>65</v>
      </c>
      <c r="E8" s="15">
        <f t="shared" si="0"/>
        <v>30</v>
      </c>
      <c r="F8" s="14">
        <f>E8*60</f>
        <v>1800</v>
      </c>
      <c r="G8" s="16" t="s">
        <v>65</v>
      </c>
      <c r="H8" s="16">
        <v>34</v>
      </c>
      <c r="I8" s="16">
        <v>9</v>
      </c>
      <c r="J8" s="16" t="s">
        <v>65</v>
      </c>
      <c r="K8" s="16" t="s">
        <v>65</v>
      </c>
      <c r="L8" s="16">
        <v>35</v>
      </c>
      <c r="M8" s="15">
        <f t="shared" si="1"/>
        <v>78</v>
      </c>
      <c r="N8" s="14">
        <f>M8*60</f>
        <v>4680</v>
      </c>
      <c r="O8" s="16">
        <v>4</v>
      </c>
      <c r="P8" s="16">
        <v>5</v>
      </c>
      <c r="Q8" s="16" t="s">
        <v>65</v>
      </c>
      <c r="R8" s="16">
        <v>5</v>
      </c>
      <c r="S8" s="16" t="s">
        <v>65</v>
      </c>
      <c r="T8" s="16" t="s">
        <v>65</v>
      </c>
      <c r="U8" s="15">
        <f t="shared" si="2"/>
        <v>14</v>
      </c>
      <c r="V8" s="14">
        <f>U8*60</f>
        <v>840</v>
      </c>
      <c r="W8" s="16">
        <v>16</v>
      </c>
      <c r="X8" s="16">
        <v>30</v>
      </c>
      <c r="Y8" s="16">
        <v>5</v>
      </c>
      <c r="Z8" s="16">
        <v>33</v>
      </c>
      <c r="AA8" s="16">
        <v>10</v>
      </c>
      <c r="AB8" s="16">
        <v>50</v>
      </c>
      <c r="AC8" s="15">
        <f t="shared" si="3"/>
        <v>144</v>
      </c>
      <c r="AD8" s="14">
        <f>AC8*60</f>
        <v>8640</v>
      </c>
      <c r="AE8" s="16">
        <v>2</v>
      </c>
      <c r="AF8" s="16">
        <v>11</v>
      </c>
      <c r="AG8" s="16" t="s">
        <v>65</v>
      </c>
      <c r="AH8" s="16">
        <v>12</v>
      </c>
      <c r="AI8" s="16">
        <v>10</v>
      </c>
      <c r="AJ8" s="16">
        <v>6</v>
      </c>
      <c r="AK8" s="15">
        <f t="shared" si="4"/>
        <v>41</v>
      </c>
      <c r="AL8" s="14">
        <f>AK8*60</f>
        <v>2460</v>
      </c>
      <c r="AS8" s="58" t="s">
        <v>14</v>
      </c>
      <c r="AT8" s="31">
        <f>AO51</f>
        <v>886</v>
      </c>
    </row>
    <row r="9" spans="2:46" ht="15.6" x14ac:dyDescent="0.3">
      <c r="B9" s="17" t="s">
        <v>57</v>
      </c>
      <c r="C9" s="61">
        <v>4</v>
      </c>
      <c r="D9" s="16" t="s">
        <v>65</v>
      </c>
      <c r="E9" s="15">
        <f t="shared" si="0"/>
        <v>4</v>
      </c>
      <c r="F9" s="14">
        <f>E9*60</f>
        <v>240</v>
      </c>
      <c r="G9" s="16">
        <v>30</v>
      </c>
      <c r="H9" s="16">
        <v>2</v>
      </c>
      <c r="I9" s="16">
        <v>6</v>
      </c>
      <c r="J9" s="16" t="s">
        <v>65</v>
      </c>
      <c r="K9" s="16" t="s">
        <v>65</v>
      </c>
      <c r="L9" s="16"/>
      <c r="M9" s="15">
        <f t="shared" si="1"/>
        <v>38</v>
      </c>
      <c r="N9" s="14">
        <f>M9*60</f>
        <v>2280</v>
      </c>
      <c r="O9" s="16">
        <v>1</v>
      </c>
      <c r="P9" s="16">
        <v>1</v>
      </c>
      <c r="Q9" s="16">
        <v>27</v>
      </c>
      <c r="R9" s="16">
        <v>15</v>
      </c>
      <c r="S9" s="16">
        <v>26</v>
      </c>
      <c r="T9" s="16" t="s">
        <v>65</v>
      </c>
      <c r="U9" s="15">
        <f t="shared" si="2"/>
        <v>70</v>
      </c>
      <c r="V9" s="14">
        <f>U9*60</f>
        <v>4200</v>
      </c>
      <c r="W9" s="16">
        <v>17</v>
      </c>
      <c r="X9" s="16">
        <v>5</v>
      </c>
      <c r="Y9" s="16">
        <v>3</v>
      </c>
      <c r="Z9" s="16">
        <v>6</v>
      </c>
      <c r="AA9" s="16" t="s">
        <v>65</v>
      </c>
      <c r="AB9" s="16" t="s">
        <v>65</v>
      </c>
      <c r="AC9" s="15">
        <f t="shared" si="3"/>
        <v>31</v>
      </c>
      <c r="AD9" s="14">
        <f>AC9*60</f>
        <v>1860</v>
      </c>
      <c r="AE9" s="16">
        <v>2</v>
      </c>
      <c r="AF9" s="16">
        <v>9</v>
      </c>
      <c r="AG9" s="16">
        <v>5</v>
      </c>
      <c r="AH9" s="16">
        <v>1</v>
      </c>
      <c r="AI9" s="16">
        <v>20</v>
      </c>
      <c r="AJ9" s="16"/>
      <c r="AK9" s="15">
        <f t="shared" si="4"/>
        <v>37</v>
      </c>
      <c r="AL9" s="14">
        <f>AK9*60</f>
        <v>2220</v>
      </c>
      <c r="AS9" s="58" t="s">
        <v>3</v>
      </c>
      <c r="AT9" s="26">
        <f>AO52</f>
        <v>46772</v>
      </c>
    </row>
    <row r="10" spans="2:46" ht="15.6" x14ac:dyDescent="0.3">
      <c r="B10" s="17" t="s">
        <v>56</v>
      </c>
      <c r="C10" s="61" t="s">
        <v>65</v>
      </c>
      <c r="D10" s="16">
        <v>12</v>
      </c>
      <c r="E10" s="15">
        <f t="shared" si="0"/>
        <v>12</v>
      </c>
      <c r="F10" s="14">
        <f>E10*60</f>
        <v>720</v>
      </c>
      <c r="G10" s="16" t="s">
        <v>65</v>
      </c>
      <c r="H10" s="16">
        <v>10</v>
      </c>
      <c r="I10" s="16">
        <v>4</v>
      </c>
      <c r="J10" s="16">
        <v>10</v>
      </c>
      <c r="K10" s="16">
        <v>13</v>
      </c>
      <c r="L10" s="16"/>
      <c r="M10" s="15">
        <f t="shared" si="1"/>
        <v>37</v>
      </c>
      <c r="N10" s="14">
        <f>M10*60</f>
        <v>2220</v>
      </c>
      <c r="O10" s="16">
        <v>2</v>
      </c>
      <c r="P10" s="16">
        <v>4</v>
      </c>
      <c r="Q10" s="16">
        <v>8</v>
      </c>
      <c r="R10" s="16">
        <v>15</v>
      </c>
      <c r="S10" s="16">
        <v>21</v>
      </c>
      <c r="T10" s="16">
        <v>6</v>
      </c>
      <c r="U10" s="15">
        <f t="shared" si="2"/>
        <v>56</v>
      </c>
      <c r="V10" s="14">
        <f>U10*60</f>
        <v>3360</v>
      </c>
      <c r="W10" s="16">
        <v>13</v>
      </c>
      <c r="X10" s="16">
        <v>10</v>
      </c>
      <c r="Y10" s="16">
        <v>2</v>
      </c>
      <c r="Z10" s="16">
        <v>3</v>
      </c>
      <c r="AA10" s="16">
        <v>1</v>
      </c>
      <c r="AB10" s="16">
        <v>5</v>
      </c>
      <c r="AC10" s="15">
        <f t="shared" si="3"/>
        <v>34</v>
      </c>
      <c r="AD10" s="14">
        <f>AC10*60</f>
        <v>2040</v>
      </c>
      <c r="AE10" s="16">
        <v>14</v>
      </c>
      <c r="AF10" s="16">
        <v>7</v>
      </c>
      <c r="AG10" s="16">
        <v>1</v>
      </c>
      <c r="AH10" s="16">
        <v>2</v>
      </c>
      <c r="AI10" s="16">
        <v>20</v>
      </c>
      <c r="AJ10" s="16"/>
      <c r="AK10" s="15">
        <f t="shared" si="4"/>
        <v>44</v>
      </c>
      <c r="AL10" s="14">
        <f>AK10*60</f>
        <v>2640</v>
      </c>
      <c r="AS10" s="57" t="s">
        <v>7</v>
      </c>
      <c r="AT10" s="21">
        <f>AO58</f>
        <v>8960</v>
      </c>
    </row>
    <row r="11" spans="2:46" ht="15.6" x14ac:dyDescent="0.3">
      <c r="B11" s="17" t="s">
        <v>55</v>
      </c>
      <c r="C11" s="61">
        <v>20</v>
      </c>
      <c r="D11" s="16">
        <v>5</v>
      </c>
      <c r="E11" s="15">
        <f t="shared" si="0"/>
        <v>25</v>
      </c>
      <c r="F11" s="14">
        <f>E11*65</f>
        <v>1625</v>
      </c>
      <c r="G11" s="16">
        <v>17</v>
      </c>
      <c r="H11" s="16">
        <v>9</v>
      </c>
      <c r="I11" s="16">
        <v>3</v>
      </c>
      <c r="J11" s="16" t="s">
        <v>65</v>
      </c>
      <c r="K11" s="16">
        <v>1</v>
      </c>
      <c r="L11" s="16">
        <v>10</v>
      </c>
      <c r="M11" s="15">
        <f t="shared" si="1"/>
        <v>40</v>
      </c>
      <c r="N11" s="14">
        <f>M11*65</f>
        <v>2600</v>
      </c>
      <c r="O11" s="16"/>
      <c r="P11" s="16" t="s">
        <v>65</v>
      </c>
      <c r="Q11" s="16">
        <v>3</v>
      </c>
      <c r="R11" s="16">
        <v>13</v>
      </c>
      <c r="S11" s="16" t="s">
        <v>65</v>
      </c>
      <c r="T11" s="16">
        <v>10</v>
      </c>
      <c r="U11" s="15">
        <f t="shared" si="2"/>
        <v>26</v>
      </c>
      <c r="V11" s="14">
        <f>U11*65</f>
        <v>1690</v>
      </c>
      <c r="W11" s="16" t="s">
        <v>65</v>
      </c>
      <c r="X11" s="16" t="s">
        <v>65</v>
      </c>
      <c r="Y11" s="16">
        <v>2</v>
      </c>
      <c r="Z11" s="16" t="s">
        <v>65</v>
      </c>
      <c r="AA11" s="16" t="s">
        <v>65</v>
      </c>
      <c r="AB11" s="16" t="s">
        <v>65</v>
      </c>
      <c r="AC11" s="15">
        <f t="shared" si="3"/>
        <v>2</v>
      </c>
      <c r="AD11" s="14">
        <f>AC11*65</f>
        <v>130</v>
      </c>
      <c r="AE11" s="16" t="s">
        <v>65</v>
      </c>
      <c r="AF11" s="16">
        <v>16</v>
      </c>
      <c r="AG11" s="16">
        <v>7</v>
      </c>
      <c r="AH11" s="16">
        <v>6</v>
      </c>
      <c r="AI11" s="16">
        <v>1</v>
      </c>
      <c r="AJ11" s="16"/>
      <c r="AK11" s="15">
        <f t="shared" si="4"/>
        <v>30</v>
      </c>
      <c r="AL11" s="14">
        <f>AK11*65</f>
        <v>1950</v>
      </c>
      <c r="AS11" s="57" t="s">
        <v>3</v>
      </c>
      <c r="AT11" s="18">
        <f>AO59</f>
        <v>882664</v>
      </c>
    </row>
    <row r="12" spans="2:46" ht="15.6" x14ac:dyDescent="0.3">
      <c r="B12" s="17" t="s">
        <v>54</v>
      </c>
      <c r="C12" s="61"/>
      <c r="D12" s="16" t="s">
        <v>65</v>
      </c>
      <c r="E12" s="15">
        <f t="shared" si="0"/>
        <v>0</v>
      </c>
      <c r="F12" s="14">
        <f>E12*65</f>
        <v>0</v>
      </c>
      <c r="G12" s="16">
        <v>40</v>
      </c>
      <c r="H12" s="16">
        <v>7</v>
      </c>
      <c r="I12" s="16" t="s">
        <v>65</v>
      </c>
      <c r="J12" s="16">
        <v>10</v>
      </c>
      <c r="K12" s="16">
        <v>1</v>
      </c>
      <c r="L12" s="16"/>
      <c r="M12" s="15">
        <f t="shared" si="1"/>
        <v>58</v>
      </c>
      <c r="N12" s="14">
        <f>M12*65</f>
        <v>3770</v>
      </c>
      <c r="O12" s="16">
        <v>1</v>
      </c>
      <c r="P12" s="16" t="s">
        <v>65</v>
      </c>
      <c r="Q12" s="16" t="s">
        <v>65</v>
      </c>
      <c r="R12" s="16">
        <v>30</v>
      </c>
      <c r="S12" s="16" t="s">
        <v>65</v>
      </c>
      <c r="T12" s="16">
        <v>10</v>
      </c>
      <c r="U12" s="15">
        <f t="shared" si="2"/>
        <v>41</v>
      </c>
      <c r="V12" s="14">
        <f>U12*65</f>
        <v>2665</v>
      </c>
      <c r="W12" s="16" t="s">
        <v>65</v>
      </c>
      <c r="X12" s="16" t="s">
        <v>65</v>
      </c>
      <c r="Y12" s="16" t="s">
        <v>65</v>
      </c>
      <c r="Z12" s="16" t="s">
        <v>65</v>
      </c>
      <c r="AA12" s="16" t="s">
        <v>65</v>
      </c>
      <c r="AB12" s="16" t="s">
        <v>65</v>
      </c>
      <c r="AC12" s="15">
        <f t="shared" si="3"/>
        <v>0</v>
      </c>
      <c r="AD12" s="14">
        <f>AC12*65</f>
        <v>0</v>
      </c>
      <c r="AE12" s="16" t="s">
        <v>65</v>
      </c>
      <c r="AF12" s="16">
        <v>2</v>
      </c>
      <c r="AG12" s="16">
        <v>5</v>
      </c>
      <c r="AH12" s="16">
        <v>6</v>
      </c>
      <c r="AI12" s="16">
        <v>1</v>
      </c>
      <c r="AJ12" s="16"/>
      <c r="AK12" s="15">
        <f t="shared" si="4"/>
        <v>14</v>
      </c>
      <c r="AL12" s="14">
        <f>AK12*65</f>
        <v>910</v>
      </c>
      <c r="AS12" s="56" t="s">
        <v>4</v>
      </c>
      <c r="AT12" s="12">
        <f>AO61</f>
        <v>1375</v>
      </c>
    </row>
    <row r="13" spans="2:46" ht="15.6" x14ac:dyDescent="0.3">
      <c r="B13" s="17" t="s">
        <v>40</v>
      </c>
      <c r="C13" s="61">
        <v>27</v>
      </c>
      <c r="D13" s="16">
        <v>25</v>
      </c>
      <c r="E13" s="15">
        <f t="shared" si="0"/>
        <v>52</v>
      </c>
      <c r="F13" s="14">
        <f>E13*95</f>
        <v>4940</v>
      </c>
      <c r="G13" s="16">
        <v>88</v>
      </c>
      <c r="H13" s="16">
        <v>26</v>
      </c>
      <c r="I13" s="16">
        <v>94</v>
      </c>
      <c r="J13" s="16">
        <v>25</v>
      </c>
      <c r="K13" s="16">
        <v>30</v>
      </c>
      <c r="L13" s="16"/>
      <c r="M13" s="15">
        <f t="shared" si="1"/>
        <v>263</v>
      </c>
      <c r="N13" s="14">
        <f>M13*95</f>
        <v>24985</v>
      </c>
      <c r="O13" s="16">
        <v>20</v>
      </c>
      <c r="P13" s="16">
        <v>27</v>
      </c>
      <c r="Q13" s="16">
        <v>103</v>
      </c>
      <c r="R13" s="16">
        <v>15</v>
      </c>
      <c r="S13" s="16">
        <v>29</v>
      </c>
      <c r="T13" s="16">
        <v>16</v>
      </c>
      <c r="U13" s="15">
        <f t="shared" si="2"/>
        <v>210</v>
      </c>
      <c r="V13" s="14">
        <f>U13*95</f>
        <v>19950</v>
      </c>
      <c r="W13" s="16">
        <v>26</v>
      </c>
      <c r="X13" s="16">
        <v>1</v>
      </c>
      <c r="Y13" s="16">
        <v>36</v>
      </c>
      <c r="Z13" s="16">
        <v>31</v>
      </c>
      <c r="AA13" s="16">
        <v>20</v>
      </c>
      <c r="AB13" s="16">
        <v>25</v>
      </c>
      <c r="AC13" s="15">
        <f t="shared" si="3"/>
        <v>139</v>
      </c>
      <c r="AD13" s="14">
        <f>AC13*95</f>
        <v>13205</v>
      </c>
      <c r="AE13" s="16">
        <v>7</v>
      </c>
      <c r="AF13" s="16">
        <v>7</v>
      </c>
      <c r="AG13" s="16">
        <v>55</v>
      </c>
      <c r="AH13" s="16">
        <v>56</v>
      </c>
      <c r="AI13" s="16">
        <v>4</v>
      </c>
      <c r="AJ13" s="16">
        <v>15</v>
      </c>
      <c r="AK13" s="15">
        <f t="shared" si="4"/>
        <v>144</v>
      </c>
      <c r="AL13" s="14">
        <f>AK13*95</f>
        <v>13680</v>
      </c>
      <c r="AS13" s="55" t="s">
        <v>3</v>
      </c>
      <c r="AT13" s="6">
        <f>AO62</f>
        <v>137500</v>
      </c>
    </row>
    <row r="14" spans="2:46" x14ac:dyDescent="0.3">
      <c r="B14" s="17" t="s">
        <v>53</v>
      </c>
      <c r="C14" s="61" t="s">
        <v>65</v>
      </c>
      <c r="D14" s="16" t="s">
        <v>65</v>
      </c>
      <c r="E14" s="15">
        <f t="shared" si="0"/>
        <v>0</v>
      </c>
      <c r="F14" s="14">
        <f>E14*105</f>
        <v>0</v>
      </c>
      <c r="G14" s="16">
        <v>93</v>
      </c>
      <c r="H14" s="16">
        <v>54</v>
      </c>
      <c r="I14" s="16">
        <v>40</v>
      </c>
      <c r="J14" s="16"/>
      <c r="K14" s="16">
        <v>20</v>
      </c>
      <c r="L14" s="16"/>
      <c r="M14" s="15">
        <f t="shared" si="1"/>
        <v>207</v>
      </c>
      <c r="N14" s="14">
        <f>M14*105</f>
        <v>21735</v>
      </c>
      <c r="O14" s="16">
        <v>22</v>
      </c>
      <c r="P14" s="16">
        <v>17</v>
      </c>
      <c r="Q14" s="16">
        <v>50</v>
      </c>
      <c r="R14" s="16">
        <v>10</v>
      </c>
      <c r="S14" s="16">
        <v>77</v>
      </c>
      <c r="T14" s="16" t="s">
        <v>65</v>
      </c>
      <c r="U14" s="15">
        <f t="shared" si="2"/>
        <v>176</v>
      </c>
      <c r="V14" s="14">
        <f>U14*105</f>
        <v>18480</v>
      </c>
      <c r="W14" s="16">
        <v>8</v>
      </c>
      <c r="X14" s="16" t="s">
        <v>65</v>
      </c>
      <c r="Y14" s="16">
        <v>15</v>
      </c>
      <c r="Z14" s="16">
        <v>20</v>
      </c>
      <c r="AA14" s="16"/>
      <c r="AB14" s="16">
        <v>20</v>
      </c>
      <c r="AC14" s="15">
        <f t="shared" si="3"/>
        <v>63</v>
      </c>
      <c r="AD14" s="14">
        <f>AC14*105</f>
        <v>6615</v>
      </c>
      <c r="AE14" s="16">
        <v>8</v>
      </c>
      <c r="AF14" s="16">
        <v>20</v>
      </c>
      <c r="AG14" s="16">
        <v>32</v>
      </c>
      <c r="AH14" s="16">
        <v>17</v>
      </c>
      <c r="AI14" s="16">
        <v>21</v>
      </c>
      <c r="AJ14" s="16" t="s">
        <v>72</v>
      </c>
      <c r="AK14" s="15">
        <f t="shared" si="4"/>
        <v>98</v>
      </c>
      <c r="AL14" s="14">
        <f>AK14*105</f>
        <v>10290</v>
      </c>
      <c r="AS14" s="10"/>
    </row>
    <row r="15" spans="2:46" ht="15.6" x14ac:dyDescent="0.3">
      <c r="B15" s="17" t="s">
        <v>52</v>
      </c>
      <c r="C15" s="61" t="s">
        <v>65</v>
      </c>
      <c r="D15" s="16" t="s">
        <v>65</v>
      </c>
      <c r="E15" s="15">
        <f t="shared" si="0"/>
        <v>0</v>
      </c>
      <c r="F15" s="14">
        <f>E15*110</f>
        <v>0</v>
      </c>
      <c r="G15" s="16" t="s">
        <v>65</v>
      </c>
      <c r="H15" s="16" t="s">
        <v>65</v>
      </c>
      <c r="I15" s="16" t="s">
        <v>65</v>
      </c>
      <c r="J15" s="16"/>
      <c r="K15" s="16">
        <v>8</v>
      </c>
      <c r="L15" s="16"/>
      <c r="M15" s="15">
        <f t="shared" si="1"/>
        <v>8</v>
      </c>
      <c r="N15" s="14">
        <f>M15*110</f>
        <v>880</v>
      </c>
      <c r="O15" s="16">
        <v>6</v>
      </c>
      <c r="P15" s="16" t="s">
        <v>65</v>
      </c>
      <c r="Q15" s="16">
        <v>5</v>
      </c>
      <c r="R15" s="16">
        <v>5</v>
      </c>
      <c r="S15" s="16">
        <v>3</v>
      </c>
      <c r="T15" s="16" t="s">
        <v>65</v>
      </c>
      <c r="U15" s="15">
        <f t="shared" si="2"/>
        <v>19</v>
      </c>
      <c r="V15" s="14">
        <f>U15*110</f>
        <v>2090</v>
      </c>
      <c r="W15" s="16">
        <v>9</v>
      </c>
      <c r="X15" s="16">
        <v>1</v>
      </c>
      <c r="Y15" s="16" t="s">
        <v>65</v>
      </c>
      <c r="Z15" s="16">
        <v>10</v>
      </c>
      <c r="AA15" s="16"/>
      <c r="AB15" s="16" t="s">
        <v>65</v>
      </c>
      <c r="AC15" s="15">
        <f t="shared" si="3"/>
        <v>20</v>
      </c>
      <c r="AD15" s="14">
        <f>AC15*110</f>
        <v>2200</v>
      </c>
      <c r="AE15" s="16">
        <v>1</v>
      </c>
      <c r="AF15" s="16">
        <v>25</v>
      </c>
      <c r="AG15" s="16" t="s">
        <v>65</v>
      </c>
      <c r="AH15" s="16" t="s">
        <v>65</v>
      </c>
      <c r="AI15" s="16" t="s">
        <v>65</v>
      </c>
      <c r="AJ15" s="16"/>
      <c r="AK15" s="15">
        <f t="shared" si="4"/>
        <v>26</v>
      </c>
      <c r="AL15" s="14">
        <f>AK15*110</f>
        <v>2860</v>
      </c>
      <c r="AS15" s="54" t="s">
        <v>51</v>
      </c>
      <c r="AT15" s="66">
        <v>437290</v>
      </c>
    </row>
    <row r="16" spans="2:46" x14ac:dyDescent="0.3">
      <c r="B16" s="17" t="s">
        <v>50</v>
      </c>
      <c r="C16" s="61" t="s">
        <v>65</v>
      </c>
      <c r="D16" s="16" t="s">
        <v>65</v>
      </c>
      <c r="E16" s="15">
        <f t="shared" si="0"/>
        <v>0</v>
      </c>
      <c r="F16" s="14">
        <f>E16*70</f>
        <v>0</v>
      </c>
      <c r="G16" s="16">
        <v>5</v>
      </c>
      <c r="H16" s="16">
        <v>2</v>
      </c>
      <c r="I16" s="16" t="s">
        <v>65</v>
      </c>
      <c r="J16" s="16"/>
      <c r="K16" s="16">
        <v>11</v>
      </c>
      <c r="L16" s="16"/>
      <c r="M16" s="15">
        <f t="shared" si="1"/>
        <v>18</v>
      </c>
      <c r="N16" s="14">
        <f>M16*70</f>
        <v>1260</v>
      </c>
      <c r="O16" s="16"/>
      <c r="P16" s="16"/>
      <c r="Q16" s="16" t="s">
        <v>65</v>
      </c>
      <c r="R16" s="16"/>
      <c r="S16" s="16" t="s">
        <v>65</v>
      </c>
      <c r="T16" s="16" t="s">
        <v>65</v>
      </c>
      <c r="U16" s="15">
        <f t="shared" si="2"/>
        <v>0</v>
      </c>
      <c r="V16" s="14">
        <f>U16*70</f>
        <v>0</v>
      </c>
      <c r="W16" s="20">
        <v>1</v>
      </c>
      <c r="X16" s="16"/>
      <c r="Y16" s="16">
        <v>3</v>
      </c>
      <c r="Z16" s="16">
        <v>1</v>
      </c>
      <c r="AA16" s="16"/>
      <c r="AB16" s="16">
        <v>13</v>
      </c>
      <c r="AC16" s="15">
        <f t="shared" si="3"/>
        <v>18</v>
      </c>
      <c r="AD16" s="14">
        <f>AC16*70</f>
        <v>1260</v>
      </c>
      <c r="AE16" s="16" t="s">
        <v>65</v>
      </c>
      <c r="AF16" s="16" t="s">
        <v>65</v>
      </c>
      <c r="AG16" s="16">
        <v>10</v>
      </c>
      <c r="AH16" s="16" t="s">
        <v>65</v>
      </c>
      <c r="AI16" s="16">
        <v>4</v>
      </c>
      <c r="AJ16" s="16"/>
      <c r="AK16" s="15">
        <f t="shared" si="4"/>
        <v>14</v>
      </c>
      <c r="AL16" s="14">
        <f>AK16*70</f>
        <v>980</v>
      </c>
    </row>
    <row r="17" spans="2:42" x14ac:dyDescent="0.3">
      <c r="B17" s="17" t="s">
        <v>28</v>
      </c>
      <c r="C17" s="61" t="s">
        <v>65</v>
      </c>
      <c r="D17" s="16" t="s">
        <v>65</v>
      </c>
      <c r="E17" s="15">
        <f t="shared" si="0"/>
        <v>0</v>
      </c>
      <c r="F17" s="14">
        <f>E17*0</f>
        <v>0</v>
      </c>
      <c r="G17" s="16"/>
      <c r="H17" s="16"/>
      <c r="I17" s="16"/>
      <c r="J17" s="16"/>
      <c r="K17" s="16">
        <v>10</v>
      </c>
      <c r="L17" s="16"/>
      <c r="M17" s="15">
        <f t="shared" si="1"/>
        <v>10</v>
      </c>
      <c r="N17" s="14">
        <f>M17*0</f>
        <v>0</v>
      </c>
      <c r="O17" s="16"/>
      <c r="P17" s="16" t="s">
        <v>65</v>
      </c>
      <c r="Q17" s="16" t="s">
        <v>65</v>
      </c>
      <c r="R17" s="16"/>
      <c r="S17" s="16" t="s">
        <v>65</v>
      </c>
      <c r="T17" s="16" t="s">
        <v>65</v>
      </c>
      <c r="U17" s="15">
        <f t="shared" si="2"/>
        <v>0</v>
      </c>
      <c r="V17" s="14">
        <f>U17*0</f>
        <v>0</v>
      </c>
      <c r="W17" s="16" t="s">
        <v>65</v>
      </c>
      <c r="X17" s="16"/>
      <c r="Y17" s="16"/>
      <c r="Z17" s="16" t="s">
        <v>65</v>
      </c>
      <c r="AA17" s="16"/>
      <c r="AB17" s="16" t="s">
        <v>65</v>
      </c>
      <c r="AC17" s="15">
        <f>SUM(W17:AB17)</f>
        <v>0</v>
      </c>
      <c r="AD17" s="14">
        <f>AC17*0</f>
        <v>0</v>
      </c>
      <c r="AE17" s="16" t="s">
        <v>65</v>
      </c>
      <c r="AF17" s="16" t="s">
        <v>65</v>
      </c>
      <c r="AG17" s="16" t="s">
        <v>65</v>
      </c>
      <c r="AH17" s="16" t="s">
        <v>65</v>
      </c>
      <c r="AI17" s="16" t="s">
        <v>65</v>
      </c>
      <c r="AJ17" s="16"/>
      <c r="AK17" s="15">
        <f t="shared" si="4"/>
        <v>0</v>
      </c>
      <c r="AL17" s="14">
        <f>AK17*0</f>
        <v>0</v>
      </c>
    </row>
    <row r="18" spans="2:42" x14ac:dyDescent="0.3">
      <c r="B18" s="17" t="s">
        <v>49</v>
      </c>
      <c r="C18" s="61" t="s">
        <v>65</v>
      </c>
      <c r="D18" s="16" t="s">
        <v>65</v>
      </c>
      <c r="E18" s="15">
        <f t="shared" si="0"/>
        <v>0</v>
      </c>
      <c r="F18" s="14">
        <f>E18*0</f>
        <v>0</v>
      </c>
      <c r="G18" s="16"/>
      <c r="H18" s="16"/>
      <c r="I18" s="16"/>
      <c r="J18" s="16"/>
      <c r="K18" s="16"/>
      <c r="L18" s="16"/>
      <c r="M18" s="15">
        <f t="shared" si="1"/>
        <v>0</v>
      </c>
      <c r="N18" s="14">
        <f>M18*0</f>
        <v>0</v>
      </c>
      <c r="O18" s="16"/>
      <c r="P18" s="16" t="s">
        <v>65</v>
      </c>
      <c r="Q18" s="16" t="s">
        <v>65</v>
      </c>
      <c r="R18" s="16" t="s">
        <v>65</v>
      </c>
      <c r="S18" s="16" t="s">
        <v>65</v>
      </c>
      <c r="T18" s="16" t="s">
        <v>65</v>
      </c>
      <c r="U18" s="15">
        <f t="shared" si="2"/>
        <v>0</v>
      </c>
      <c r="V18" s="14">
        <f>U18*0</f>
        <v>0</v>
      </c>
      <c r="W18" s="16" t="s">
        <v>65</v>
      </c>
      <c r="X18" s="16"/>
      <c r="Y18" s="16"/>
      <c r="Z18" s="16" t="s">
        <v>65</v>
      </c>
      <c r="AA18" s="16" t="s">
        <v>65</v>
      </c>
      <c r="AB18" s="16" t="s">
        <v>65</v>
      </c>
      <c r="AC18" s="15">
        <f>SUM(W18:AB18)</f>
        <v>0</v>
      </c>
      <c r="AD18" s="14">
        <f>AC18*0</f>
        <v>0</v>
      </c>
      <c r="AE18" s="16" t="s">
        <v>65</v>
      </c>
      <c r="AF18" s="16" t="s">
        <v>65</v>
      </c>
      <c r="AG18" s="16"/>
      <c r="AH18" s="16" t="s">
        <v>65</v>
      </c>
      <c r="AI18" s="16" t="s">
        <v>65</v>
      </c>
      <c r="AJ18" s="16"/>
      <c r="AK18" s="15">
        <f>SUM(AE18:AJ18)</f>
        <v>0</v>
      </c>
      <c r="AL18" s="14">
        <f>AK18*0</f>
        <v>0</v>
      </c>
    </row>
    <row r="19" spans="2:42" ht="15.6" x14ac:dyDescent="0.3">
      <c r="B19" s="52"/>
      <c r="C19" s="50"/>
      <c r="D19" s="50"/>
      <c r="E19" s="39">
        <f>SUM(E4:E16)</f>
        <v>502</v>
      </c>
      <c r="F19" s="49">
        <f>SUM(F4:F16)</f>
        <v>32075</v>
      </c>
      <c r="G19" s="50"/>
      <c r="H19" s="50"/>
      <c r="I19" s="50"/>
      <c r="J19" s="50"/>
      <c r="K19" s="50"/>
      <c r="L19" s="50"/>
      <c r="M19" s="39">
        <f>SUM(M4:M16)</f>
        <v>1513</v>
      </c>
      <c r="N19" s="49">
        <f>SUM(N4:N16)</f>
        <v>110376</v>
      </c>
      <c r="O19" s="50"/>
      <c r="P19" s="50"/>
      <c r="Q19" s="50"/>
      <c r="R19" s="50"/>
      <c r="S19" s="50"/>
      <c r="T19" s="50"/>
      <c r="U19" s="39">
        <f>SUM(U4:U16)</f>
        <v>1326</v>
      </c>
      <c r="V19" s="49">
        <f>SUM(V4:V16)</f>
        <v>96165</v>
      </c>
      <c r="W19" s="50"/>
      <c r="X19" s="50"/>
      <c r="Y19" s="50"/>
      <c r="Z19" s="50"/>
      <c r="AA19" s="50"/>
      <c r="AB19" s="50"/>
      <c r="AC19" s="39">
        <f>SUM(AC4:AC16)</f>
        <v>1167</v>
      </c>
      <c r="AD19" s="49">
        <f>SUM(AD4:AD16)</f>
        <v>78943</v>
      </c>
      <c r="AE19" s="50"/>
      <c r="AF19" s="50"/>
      <c r="AG19" s="50"/>
      <c r="AH19" s="50"/>
      <c r="AI19" s="50"/>
      <c r="AJ19" s="50"/>
      <c r="AK19" s="39">
        <f>SUM(AK4:AK16)</f>
        <v>803</v>
      </c>
      <c r="AL19" s="49">
        <f>SUM(AL4:AL16)</f>
        <v>59308</v>
      </c>
      <c r="AN19" s="47" t="s">
        <v>48</v>
      </c>
      <c r="AO19" s="48">
        <f>E50+M50+U50+AC50+AK50</f>
        <v>7033</v>
      </c>
      <c r="AP19" s="30">
        <f>AO20/AO19</f>
        <v>70.787715057585672</v>
      </c>
    </row>
    <row r="20" spans="2:42" ht="15.6" customHeight="1" x14ac:dyDescent="0.3">
      <c r="B20" s="42" t="s">
        <v>47</v>
      </c>
      <c r="C20" s="16">
        <v>25</v>
      </c>
      <c r="D20" s="16" t="s">
        <v>65</v>
      </c>
      <c r="E20" s="15">
        <f>SUM(C20:D20)</f>
        <v>25</v>
      </c>
      <c r="F20" s="14">
        <f>E20*85</f>
        <v>2125</v>
      </c>
      <c r="G20" s="16">
        <v>12</v>
      </c>
      <c r="H20" s="16">
        <v>10</v>
      </c>
      <c r="I20" s="16">
        <v>10</v>
      </c>
      <c r="J20" s="16" t="s">
        <v>65</v>
      </c>
      <c r="K20" s="16"/>
      <c r="L20" s="16"/>
      <c r="M20" s="15">
        <f>SUM(G20:L20)</f>
        <v>32</v>
      </c>
      <c r="N20" s="14">
        <f>M20*85</f>
        <v>2720</v>
      </c>
      <c r="O20" s="16">
        <v>5</v>
      </c>
      <c r="P20" s="16" t="s">
        <v>65</v>
      </c>
      <c r="Q20" s="16" t="s">
        <v>65</v>
      </c>
      <c r="R20" s="16"/>
      <c r="S20" s="16"/>
      <c r="T20" s="16">
        <v>10</v>
      </c>
      <c r="U20" s="15">
        <f>SUM(O20:T20)</f>
        <v>15</v>
      </c>
      <c r="V20" s="14">
        <f>U20*85</f>
        <v>1275</v>
      </c>
      <c r="W20" s="16" t="s">
        <v>65</v>
      </c>
      <c r="X20" s="16">
        <v>20</v>
      </c>
      <c r="Y20" s="16"/>
      <c r="Z20" s="16">
        <v>10</v>
      </c>
      <c r="AA20" s="16"/>
      <c r="AB20" s="16">
        <v>45</v>
      </c>
      <c r="AC20" s="15">
        <f>SUM(W20:AB20)</f>
        <v>75</v>
      </c>
      <c r="AD20" s="14">
        <f>AC20*85</f>
        <v>6375</v>
      </c>
      <c r="AE20" s="16">
        <v>10</v>
      </c>
      <c r="AF20" s="16" t="s">
        <v>65</v>
      </c>
      <c r="AG20" s="16" t="s">
        <v>65</v>
      </c>
      <c r="AH20" s="16">
        <v>10</v>
      </c>
      <c r="AI20" s="16">
        <v>0</v>
      </c>
      <c r="AJ20" s="16"/>
      <c r="AK20" s="15">
        <f>SUM(AE20:AJ20)</f>
        <v>20</v>
      </c>
      <c r="AL20" s="14">
        <f>AK20*98</f>
        <v>1960</v>
      </c>
      <c r="AN20" s="47" t="s">
        <v>3</v>
      </c>
      <c r="AO20" s="46">
        <f>F50+N50+V50+AD50+AL50</f>
        <v>497850</v>
      </c>
    </row>
    <row r="21" spans="2:42" x14ac:dyDescent="0.3">
      <c r="B21" s="42" t="s">
        <v>46</v>
      </c>
      <c r="C21" s="16">
        <v>25</v>
      </c>
      <c r="D21" s="16" t="s">
        <v>65</v>
      </c>
      <c r="E21" s="15">
        <f t="shared" ref="E21:E47" si="5">SUM(C21:D21)</f>
        <v>25</v>
      </c>
      <c r="F21" s="14">
        <f>E21*84</f>
        <v>2100</v>
      </c>
      <c r="G21" s="16"/>
      <c r="H21" s="16"/>
      <c r="I21" s="16">
        <v>10</v>
      </c>
      <c r="J21" s="16" t="s">
        <v>65</v>
      </c>
      <c r="K21" s="16"/>
      <c r="L21" s="16"/>
      <c r="M21" s="15">
        <f t="shared" ref="M21:M47" si="6">SUM(G21:L21)</f>
        <v>10</v>
      </c>
      <c r="N21" s="14">
        <f>M21*84</f>
        <v>840</v>
      </c>
      <c r="O21" s="16">
        <v>2</v>
      </c>
      <c r="P21" s="16">
        <v>4</v>
      </c>
      <c r="Q21" s="16">
        <v>3</v>
      </c>
      <c r="R21" s="16">
        <v>10</v>
      </c>
      <c r="S21" s="16"/>
      <c r="T21" s="16" t="s">
        <v>65</v>
      </c>
      <c r="U21" s="15">
        <f t="shared" ref="U21:U47" si="7">SUM(O21:T21)</f>
        <v>19</v>
      </c>
      <c r="V21" s="14">
        <f>U21*84</f>
        <v>1596</v>
      </c>
      <c r="W21" s="16">
        <v>10</v>
      </c>
      <c r="X21" s="16">
        <v>40</v>
      </c>
      <c r="Y21" s="16"/>
      <c r="Z21" s="16">
        <v>15</v>
      </c>
      <c r="AA21" s="16"/>
      <c r="AB21" s="16">
        <v>35</v>
      </c>
      <c r="AC21" s="15">
        <f t="shared" ref="AC21:AC43" si="8">SUM(W21:AB21)</f>
        <v>100</v>
      </c>
      <c r="AD21" s="14">
        <f>AC21*84</f>
        <v>8400</v>
      </c>
      <c r="AE21" s="16" t="s">
        <v>65</v>
      </c>
      <c r="AF21" s="16" t="s">
        <v>65</v>
      </c>
      <c r="AG21" s="16" t="s">
        <v>65</v>
      </c>
      <c r="AH21" s="16" t="s">
        <v>65</v>
      </c>
      <c r="AI21" s="16">
        <v>0</v>
      </c>
      <c r="AJ21" s="16"/>
      <c r="AK21" s="15">
        <f t="shared" ref="AK21:AK47" si="9">SUM(AE21:AJ21)</f>
        <v>0</v>
      </c>
      <c r="AL21" s="14">
        <f>AK21*96</f>
        <v>0</v>
      </c>
    </row>
    <row r="22" spans="2:42" x14ac:dyDescent="0.3">
      <c r="B22" s="42" t="s">
        <v>45</v>
      </c>
      <c r="C22" s="16" t="s">
        <v>65</v>
      </c>
      <c r="D22" s="16">
        <v>5</v>
      </c>
      <c r="E22" s="15">
        <f t="shared" si="5"/>
        <v>5</v>
      </c>
      <c r="F22" s="14">
        <f>E22*85</f>
        <v>425</v>
      </c>
      <c r="G22" s="16"/>
      <c r="H22" s="16">
        <v>1</v>
      </c>
      <c r="I22" s="16" t="s">
        <v>65</v>
      </c>
      <c r="J22" s="16" t="s">
        <v>65</v>
      </c>
      <c r="K22" s="16">
        <v>6</v>
      </c>
      <c r="L22" s="16"/>
      <c r="M22" s="15">
        <f t="shared" si="6"/>
        <v>7</v>
      </c>
      <c r="N22" s="14">
        <f>M22*85</f>
        <v>595</v>
      </c>
      <c r="O22" s="16"/>
      <c r="P22" s="16" t="s">
        <v>65</v>
      </c>
      <c r="Q22" s="16"/>
      <c r="R22" s="16"/>
      <c r="S22" s="16">
        <v>10</v>
      </c>
      <c r="T22" s="16" t="s">
        <v>65</v>
      </c>
      <c r="U22" s="15">
        <f t="shared" si="7"/>
        <v>10</v>
      </c>
      <c r="V22" s="14">
        <f>U22*85</f>
        <v>850</v>
      </c>
      <c r="W22" s="16">
        <v>2</v>
      </c>
      <c r="X22" s="16" t="s">
        <v>65</v>
      </c>
      <c r="Y22" s="16">
        <v>8</v>
      </c>
      <c r="Z22" s="16">
        <v>10</v>
      </c>
      <c r="AA22" s="16"/>
      <c r="AB22" s="16">
        <v>16</v>
      </c>
      <c r="AC22" s="15">
        <f t="shared" si="8"/>
        <v>36</v>
      </c>
      <c r="AD22" s="14">
        <f>AC22*85</f>
        <v>3060</v>
      </c>
      <c r="AE22" s="16" t="s">
        <v>65</v>
      </c>
      <c r="AF22" s="16" t="s">
        <v>65</v>
      </c>
      <c r="AG22" s="16" t="s">
        <v>65</v>
      </c>
      <c r="AH22" s="16" t="s">
        <v>65</v>
      </c>
      <c r="AI22" s="16"/>
      <c r="AJ22" s="16"/>
      <c r="AK22" s="15">
        <f t="shared" si="9"/>
        <v>0</v>
      </c>
      <c r="AL22" s="14">
        <f>AK22*98</f>
        <v>0</v>
      </c>
    </row>
    <row r="23" spans="2:42" x14ac:dyDescent="0.3">
      <c r="B23" s="42" t="s">
        <v>44</v>
      </c>
      <c r="C23" s="16" t="s">
        <v>65</v>
      </c>
      <c r="D23" s="16" t="s">
        <v>65</v>
      </c>
      <c r="E23" s="15">
        <f t="shared" si="5"/>
        <v>0</v>
      </c>
      <c r="F23" s="14">
        <f>E23*85</f>
        <v>0</v>
      </c>
      <c r="G23" s="16">
        <v>6</v>
      </c>
      <c r="H23" s="16">
        <v>1</v>
      </c>
      <c r="I23" s="16">
        <v>10</v>
      </c>
      <c r="J23" s="16" t="s">
        <v>65</v>
      </c>
      <c r="K23" s="16">
        <v>2</v>
      </c>
      <c r="L23" s="16"/>
      <c r="M23" s="15">
        <f t="shared" si="6"/>
        <v>19</v>
      </c>
      <c r="N23" s="14">
        <f>M23*85</f>
        <v>1615</v>
      </c>
      <c r="O23" s="16"/>
      <c r="P23" s="16" t="s">
        <v>65</v>
      </c>
      <c r="Q23" s="16" t="s">
        <v>65</v>
      </c>
      <c r="R23" s="16"/>
      <c r="S23" s="16">
        <v>20</v>
      </c>
      <c r="T23" s="16" t="s">
        <v>65</v>
      </c>
      <c r="U23" s="15">
        <f t="shared" si="7"/>
        <v>20</v>
      </c>
      <c r="V23" s="14">
        <f>U23*85</f>
        <v>1700</v>
      </c>
      <c r="W23" s="16">
        <v>2</v>
      </c>
      <c r="X23" s="16" t="s">
        <v>65</v>
      </c>
      <c r="Y23" s="16"/>
      <c r="Z23" s="16" t="s">
        <v>65</v>
      </c>
      <c r="AA23" s="16"/>
      <c r="AB23" s="16">
        <v>9</v>
      </c>
      <c r="AC23" s="15">
        <f t="shared" si="8"/>
        <v>11</v>
      </c>
      <c r="AD23" s="14">
        <f>AC23*85</f>
        <v>935</v>
      </c>
      <c r="AE23" s="16" t="s">
        <v>65</v>
      </c>
      <c r="AF23" s="16" t="s">
        <v>65</v>
      </c>
      <c r="AG23" s="16" t="s">
        <v>65</v>
      </c>
      <c r="AH23" s="16" t="s">
        <v>65</v>
      </c>
      <c r="AI23" s="16"/>
      <c r="AJ23" s="16"/>
      <c r="AK23" s="15">
        <f t="shared" si="9"/>
        <v>0</v>
      </c>
      <c r="AL23" s="14">
        <f>AK23*82</f>
        <v>0</v>
      </c>
    </row>
    <row r="24" spans="2:42" ht="15.6" x14ac:dyDescent="0.3">
      <c r="B24" s="42" t="s">
        <v>43</v>
      </c>
      <c r="C24" s="16" t="s">
        <v>65</v>
      </c>
      <c r="D24" s="16">
        <v>19</v>
      </c>
      <c r="E24" s="15">
        <f t="shared" si="5"/>
        <v>19</v>
      </c>
      <c r="F24" s="14">
        <f>E24*85</f>
        <v>1615</v>
      </c>
      <c r="G24" s="16"/>
      <c r="H24" s="16"/>
      <c r="I24" s="16"/>
      <c r="J24" s="16" t="s">
        <v>65</v>
      </c>
      <c r="K24" s="16"/>
      <c r="L24" s="16"/>
      <c r="M24" s="15">
        <f t="shared" si="6"/>
        <v>0</v>
      </c>
      <c r="N24" s="14">
        <f>M24*85</f>
        <v>0</v>
      </c>
      <c r="O24" s="16"/>
      <c r="P24" s="16" t="s">
        <v>65</v>
      </c>
      <c r="Q24" s="16"/>
      <c r="R24" s="16">
        <v>59</v>
      </c>
      <c r="S24" s="16"/>
      <c r="T24" s="16" t="s">
        <v>65</v>
      </c>
      <c r="U24" s="15">
        <f t="shared" si="7"/>
        <v>59</v>
      </c>
      <c r="V24" s="14">
        <f>U24*85</f>
        <v>5015</v>
      </c>
      <c r="W24" s="16" t="s">
        <v>65</v>
      </c>
      <c r="X24" s="16" t="s">
        <v>65</v>
      </c>
      <c r="Y24" s="16">
        <v>25</v>
      </c>
      <c r="Z24" s="16" t="s">
        <v>65</v>
      </c>
      <c r="AA24" s="16"/>
      <c r="AB24" s="16"/>
      <c r="AC24" s="15">
        <f t="shared" si="8"/>
        <v>25</v>
      </c>
      <c r="AD24" s="14">
        <f>AC24*85</f>
        <v>2125</v>
      </c>
      <c r="AE24" s="16" t="s">
        <v>65</v>
      </c>
      <c r="AF24" s="16" t="s">
        <v>65</v>
      </c>
      <c r="AG24" s="16" t="s">
        <v>65</v>
      </c>
      <c r="AH24" s="16" t="s">
        <v>65</v>
      </c>
      <c r="AI24" s="16"/>
      <c r="AJ24" s="16"/>
      <c r="AK24" s="15">
        <f t="shared" si="9"/>
        <v>0</v>
      </c>
      <c r="AL24" s="14">
        <f>AK24*100</f>
        <v>0</v>
      </c>
      <c r="AN24" s="70" t="s">
        <v>42</v>
      </c>
      <c r="AO24" s="70"/>
    </row>
    <row r="25" spans="2:42" ht="15.6" x14ac:dyDescent="0.3">
      <c r="B25" s="42" t="s">
        <v>41</v>
      </c>
      <c r="C25" s="16" t="s">
        <v>65</v>
      </c>
      <c r="D25" s="16">
        <v>45</v>
      </c>
      <c r="E25" s="15">
        <f t="shared" si="5"/>
        <v>45</v>
      </c>
      <c r="F25" s="14">
        <f>E25*84</f>
        <v>3780</v>
      </c>
      <c r="G25" s="16"/>
      <c r="H25" s="16"/>
      <c r="I25" s="16"/>
      <c r="J25" s="16" t="s">
        <v>65</v>
      </c>
      <c r="K25" s="16"/>
      <c r="L25" s="16"/>
      <c r="M25" s="15">
        <f t="shared" si="6"/>
        <v>0</v>
      </c>
      <c r="N25" s="14">
        <f>M25*84</f>
        <v>0</v>
      </c>
      <c r="O25" s="16"/>
      <c r="P25" s="16" t="s">
        <v>65</v>
      </c>
      <c r="Q25" s="16"/>
      <c r="R25" s="16">
        <v>60</v>
      </c>
      <c r="S25" s="16"/>
      <c r="T25" s="16" t="s">
        <v>65</v>
      </c>
      <c r="U25" s="15">
        <f t="shared" si="7"/>
        <v>60</v>
      </c>
      <c r="V25" s="14">
        <f>U25*84</f>
        <v>5040</v>
      </c>
      <c r="W25" s="16" t="s">
        <v>65</v>
      </c>
      <c r="X25" s="16" t="s">
        <v>65</v>
      </c>
      <c r="Y25" s="16">
        <v>30</v>
      </c>
      <c r="Z25" s="16" t="s">
        <v>65</v>
      </c>
      <c r="AA25" s="16"/>
      <c r="AB25" s="16">
        <v>12</v>
      </c>
      <c r="AC25" s="15">
        <f t="shared" si="8"/>
        <v>42</v>
      </c>
      <c r="AD25" s="14">
        <f>AC25*84</f>
        <v>3528</v>
      </c>
      <c r="AE25" s="16" t="s">
        <v>65</v>
      </c>
      <c r="AF25" s="16" t="s">
        <v>65</v>
      </c>
      <c r="AG25" s="16" t="s">
        <v>65</v>
      </c>
      <c r="AH25" s="16" t="s">
        <v>65</v>
      </c>
      <c r="AI25" s="16"/>
      <c r="AJ25" s="16"/>
      <c r="AK25" s="15">
        <f t="shared" si="9"/>
        <v>0</v>
      </c>
      <c r="AL25" s="14">
        <f>AK25*115</f>
        <v>0</v>
      </c>
      <c r="AN25" s="45" t="s">
        <v>40</v>
      </c>
      <c r="AO25" s="44">
        <f>E13+M13+U13+AC13+AK13</f>
        <v>808</v>
      </c>
    </row>
    <row r="26" spans="2:42" ht="15.6" x14ac:dyDescent="0.3">
      <c r="B26" s="42" t="s">
        <v>39</v>
      </c>
      <c r="C26" s="16" t="s">
        <v>65</v>
      </c>
      <c r="D26" s="16" t="s">
        <v>65</v>
      </c>
      <c r="E26" s="15">
        <f t="shared" si="5"/>
        <v>0</v>
      </c>
      <c r="F26" s="14">
        <f>E26*85</f>
        <v>0</v>
      </c>
      <c r="G26" s="16"/>
      <c r="H26" s="16"/>
      <c r="I26" s="16"/>
      <c r="J26" s="16" t="s">
        <v>65</v>
      </c>
      <c r="K26" s="16"/>
      <c r="L26" s="16"/>
      <c r="M26" s="15">
        <f t="shared" si="6"/>
        <v>0</v>
      </c>
      <c r="N26" s="14">
        <f>M26*85</f>
        <v>0</v>
      </c>
      <c r="O26" s="16"/>
      <c r="P26" s="16" t="s">
        <v>65</v>
      </c>
      <c r="Q26" s="16"/>
      <c r="R26" s="16"/>
      <c r="S26" s="16"/>
      <c r="T26" s="16" t="s">
        <v>65</v>
      </c>
      <c r="U26" s="15">
        <f t="shared" si="7"/>
        <v>0</v>
      </c>
      <c r="V26" s="14">
        <f>U26*85</f>
        <v>0</v>
      </c>
      <c r="W26" s="16" t="s">
        <v>65</v>
      </c>
      <c r="X26" s="16" t="s">
        <v>65</v>
      </c>
      <c r="Y26" s="16" t="s">
        <v>65</v>
      </c>
      <c r="Z26" s="16" t="s">
        <v>65</v>
      </c>
      <c r="AA26" s="16"/>
      <c r="AB26" s="16"/>
      <c r="AC26" s="15">
        <f t="shared" si="8"/>
        <v>0</v>
      </c>
      <c r="AD26" s="14">
        <f>AC26*85</f>
        <v>0</v>
      </c>
      <c r="AE26" s="16" t="s">
        <v>65</v>
      </c>
      <c r="AF26" s="16" t="s">
        <v>65</v>
      </c>
      <c r="AG26" s="16" t="s">
        <v>65</v>
      </c>
      <c r="AH26" s="16" t="s">
        <v>65</v>
      </c>
      <c r="AI26" s="16"/>
      <c r="AJ26" s="16"/>
      <c r="AK26" s="15">
        <f t="shared" si="9"/>
        <v>0</v>
      </c>
      <c r="AL26" s="14">
        <f>AK26*85</f>
        <v>0</v>
      </c>
      <c r="AN26" s="45" t="s">
        <v>38</v>
      </c>
      <c r="AO26" s="44">
        <f>E14+M14+U14+AC14+AK14</f>
        <v>544</v>
      </c>
    </row>
    <row r="27" spans="2:42" ht="15.6" x14ac:dyDescent="0.3">
      <c r="B27" s="42" t="s">
        <v>37</v>
      </c>
      <c r="C27" s="16" t="s">
        <v>65</v>
      </c>
      <c r="D27" s="16" t="s">
        <v>65</v>
      </c>
      <c r="E27" s="15">
        <f t="shared" si="5"/>
        <v>0</v>
      </c>
      <c r="F27" s="14">
        <f>E27*85</f>
        <v>0</v>
      </c>
      <c r="G27" s="16"/>
      <c r="H27" s="16"/>
      <c r="I27" s="16"/>
      <c r="J27" s="16" t="s">
        <v>65</v>
      </c>
      <c r="K27" s="16"/>
      <c r="L27" s="16"/>
      <c r="M27" s="15">
        <f t="shared" si="6"/>
        <v>0</v>
      </c>
      <c r="N27" s="14">
        <f>M27*85</f>
        <v>0</v>
      </c>
      <c r="O27" s="16"/>
      <c r="P27" s="16" t="s">
        <v>65</v>
      </c>
      <c r="Q27" s="16"/>
      <c r="R27" s="16"/>
      <c r="S27" s="16"/>
      <c r="T27" s="16" t="s">
        <v>65</v>
      </c>
      <c r="U27" s="15">
        <f t="shared" si="7"/>
        <v>0</v>
      </c>
      <c r="V27" s="14">
        <f>U27*85</f>
        <v>0</v>
      </c>
      <c r="W27" s="16" t="s">
        <v>65</v>
      </c>
      <c r="X27" s="16" t="s">
        <v>65</v>
      </c>
      <c r="Y27" s="16"/>
      <c r="Z27" s="16" t="s">
        <v>65</v>
      </c>
      <c r="AA27" s="16"/>
      <c r="AB27" s="16"/>
      <c r="AC27" s="15">
        <f t="shared" si="8"/>
        <v>0</v>
      </c>
      <c r="AD27" s="14">
        <f>AC27*85</f>
        <v>0</v>
      </c>
      <c r="AE27" s="16" t="s">
        <v>65</v>
      </c>
      <c r="AF27" s="16" t="s">
        <v>65</v>
      </c>
      <c r="AG27" s="16" t="s">
        <v>65</v>
      </c>
      <c r="AH27" s="16" t="s">
        <v>65</v>
      </c>
      <c r="AI27" s="16"/>
      <c r="AJ27" s="16"/>
      <c r="AK27" s="15">
        <f t="shared" si="9"/>
        <v>0</v>
      </c>
      <c r="AL27" s="14">
        <f>AK27*85</f>
        <v>0</v>
      </c>
      <c r="AN27" s="45" t="s">
        <v>36</v>
      </c>
      <c r="AO27" s="44">
        <f>E15+M15+U15+AC15+AK15</f>
        <v>73</v>
      </c>
    </row>
    <row r="28" spans="2:42" x14ac:dyDescent="0.3">
      <c r="B28" s="42" t="s">
        <v>35</v>
      </c>
      <c r="C28" s="16" t="s">
        <v>65</v>
      </c>
      <c r="D28" s="16">
        <v>5</v>
      </c>
      <c r="E28" s="15">
        <f t="shared" si="5"/>
        <v>5</v>
      </c>
      <c r="F28" s="14">
        <f>E28*75</f>
        <v>375</v>
      </c>
      <c r="G28" s="16"/>
      <c r="H28" s="16">
        <v>1</v>
      </c>
      <c r="I28" s="16">
        <v>2</v>
      </c>
      <c r="J28" s="16" t="s">
        <v>65</v>
      </c>
      <c r="K28" s="20"/>
      <c r="L28" s="16">
        <v>12</v>
      </c>
      <c r="M28" s="15">
        <f t="shared" si="6"/>
        <v>15</v>
      </c>
      <c r="N28" s="14">
        <f>M28*75</f>
        <v>1125</v>
      </c>
      <c r="O28" s="16"/>
      <c r="P28" s="16" t="s">
        <v>65</v>
      </c>
      <c r="Q28" s="16"/>
      <c r="R28" s="16">
        <v>35</v>
      </c>
      <c r="S28" s="16"/>
      <c r="T28" s="16" t="s">
        <v>65</v>
      </c>
      <c r="U28" s="15">
        <f t="shared" si="7"/>
        <v>35</v>
      </c>
      <c r="V28" s="14">
        <f>U28*75</f>
        <v>2625</v>
      </c>
      <c r="W28" s="16">
        <v>13</v>
      </c>
      <c r="X28" s="16" t="s">
        <v>65</v>
      </c>
      <c r="Y28" s="16">
        <v>3</v>
      </c>
      <c r="Z28" s="16" t="s">
        <v>65</v>
      </c>
      <c r="AA28" s="16"/>
      <c r="AB28" s="16"/>
      <c r="AC28" s="15">
        <f t="shared" si="8"/>
        <v>16</v>
      </c>
      <c r="AD28" s="14">
        <f>AC28*75</f>
        <v>1200</v>
      </c>
      <c r="AE28" s="16" t="s">
        <v>65</v>
      </c>
      <c r="AF28" s="16" t="s">
        <v>65</v>
      </c>
      <c r="AG28" s="16" t="s">
        <v>65</v>
      </c>
      <c r="AH28" s="16" t="s">
        <v>65</v>
      </c>
      <c r="AI28" s="16"/>
      <c r="AJ28" s="16">
        <v>11</v>
      </c>
      <c r="AK28" s="15">
        <f t="shared" si="9"/>
        <v>11</v>
      </c>
      <c r="AL28" s="14">
        <f>AK28*75</f>
        <v>825</v>
      </c>
      <c r="AM28" t="s">
        <v>67</v>
      </c>
      <c r="AO28" s="43">
        <f>SUM(AO25:AO27)</f>
        <v>1425</v>
      </c>
    </row>
    <row r="29" spans="2:42" x14ac:dyDescent="0.3">
      <c r="B29" s="42" t="s">
        <v>34</v>
      </c>
      <c r="C29" s="16" t="s">
        <v>65</v>
      </c>
      <c r="D29" s="16">
        <v>5</v>
      </c>
      <c r="E29" s="15">
        <f t="shared" si="5"/>
        <v>5</v>
      </c>
      <c r="F29" s="14">
        <f>E29*75</f>
        <v>375</v>
      </c>
      <c r="G29" s="16"/>
      <c r="H29" s="16"/>
      <c r="I29" s="16">
        <v>10</v>
      </c>
      <c r="J29" s="16" t="s">
        <v>65</v>
      </c>
      <c r="K29" s="16"/>
      <c r="L29" s="16"/>
      <c r="M29" s="15">
        <f t="shared" si="6"/>
        <v>10</v>
      </c>
      <c r="N29" s="14">
        <f>M29*75</f>
        <v>750</v>
      </c>
      <c r="O29" s="16"/>
      <c r="P29" s="16" t="s">
        <v>65</v>
      </c>
      <c r="Q29" s="16" t="s">
        <v>65</v>
      </c>
      <c r="R29" s="16"/>
      <c r="S29" s="16">
        <v>5</v>
      </c>
      <c r="T29" s="16" t="s">
        <v>65</v>
      </c>
      <c r="U29" s="15">
        <f t="shared" si="7"/>
        <v>5</v>
      </c>
      <c r="V29" s="14">
        <f>U29*75</f>
        <v>375</v>
      </c>
      <c r="W29" s="16"/>
      <c r="X29" s="16" t="s">
        <v>65</v>
      </c>
      <c r="Y29" s="16"/>
      <c r="Z29" s="16" t="s">
        <v>65</v>
      </c>
      <c r="AA29" s="16"/>
      <c r="AB29" s="16"/>
      <c r="AC29" s="15">
        <f t="shared" si="8"/>
        <v>0</v>
      </c>
      <c r="AD29" s="14">
        <f>AC29*75</f>
        <v>0</v>
      </c>
      <c r="AE29" s="16" t="s">
        <v>65</v>
      </c>
      <c r="AF29" s="16" t="s">
        <v>65</v>
      </c>
      <c r="AG29" s="16" t="s">
        <v>65</v>
      </c>
      <c r="AH29" s="16" t="s">
        <v>65</v>
      </c>
      <c r="AI29" s="16"/>
      <c r="AJ29" s="16">
        <v>1</v>
      </c>
      <c r="AK29" s="15">
        <f t="shared" si="9"/>
        <v>1</v>
      </c>
      <c r="AL29" s="14">
        <f>AK29*75</f>
        <v>75</v>
      </c>
    </row>
    <row r="30" spans="2:42" x14ac:dyDescent="0.3">
      <c r="B30" s="42" t="s">
        <v>33</v>
      </c>
      <c r="C30" s="16">
        <v>20</v>
      </c>
      <c r="D30" s="16">
        <v>25</v>
      </c>
      <c r="E30" s="15">
        <f t="shared" si="5"/>
        <v>45</v>
      </c>
      <c r="F30" s="14">
        <f>E30*78</f>
        <v>3510</v>
      </c>
      <c r="G30" s="16">
        <v>16</v>
      </c>
      <c r="H30" s="16">
        <v>22</v>
      </c>
      <c r="I30" s="16">
        <v>10</v>
      </c>
      <c r="J30" s="16" t="s">
        <v>65</v>
      </c>
      <c r="K30" s="16">
        <v>5</v>
      </c>
      <c r="L30" s="16">
        <v>3</v>
      </c>
      <c r="M30" s="15">
        <f t="shared" si="6"/>
        <v>56</v>
      </c>
      <c r="N30" s="14">
        <f>M30*78</f>
        <v>4368</v>
      </c>
      <c r="O30" s="16">
        <v>9</v>
      </c>
      <c r="P30" s="16">
        <v>10</v>
      </c>
      <c r="Q30" s="16" t="s">
        <v>65</v>
      </c>
      <c r="R30" s="16">
        <v>110</v>
      </c>
      <c r="S30" s="16" t="s">
        <v>65</v>
      </c>
      <c r="T30" s="16" t="s">
        <v>65</v>
      </c>
      <c r="U30" s="15">
        <f t="shared" si="7"/>
        <v>129</v>
      </c>
      <c r="V30" s="14">
        <f>U30*78</f>
        <v>10062</v>
      </c>
      <c r="W30" s="16">
        <v>14</v>
      </c>
      <c r="X30" s="16">
        <v>20</v>
      </c>
      <c r="Y30" s="16">
        <v>25</v>
      </c>
      <c r="Z30" s="16">
        <v>13</v>
      </c>
      <c r="AA30" s="16"/>
      <c r="AB30" s="16">
        <v>18</v>
      </c>
      <c r="AC30" s="15">
        <f t="shared" si="8"/>
        <v>90</v>
      </c>
      <c r="AD30" s="14">
        <f>AC30*78</f>
        <v>7020</v>
      </c>
      <c r="AE30" s="16">
        <v>10</v>
      </c>
      <c r="AF30" s="16">
        <v>10</v>
      </c>
      <c r="AG30" s="16" t="s">
        <v>65</v>
      </c>
      <c r="AH30" s="16">
        <v>14</v>
      </c>
      <c r="AI30" s="16"/>
      <c r="AJ30" s="16"/>
      <c r="AK30" s="15">
        <f t="shared" si="9"/>
        <v>34</v>
      </c>
      <c r="AL30" s="14">
        <f>AK30*78</f>
        <v>2652</v>
      </c>
    </row>
    <row r="31" spans="2:42" x14ac:dyDescent="0.3">
      <c r="B31" s="42" t="s">
        <v>32</v>
      </c>
      <c r="C31" s="16"/>
      <c r="D31" s="16"/>
      <c r="E31" s="15">
        <f t="shared" si="5"/>
        <v>0</v>
      </c>
      <c r="F31" s="14">
        <f>E31*70</f>
        <v>0</v>
      </c>
      <c r="G31" s="16"/>
      <c r="H31" s="16" t="s">
        <v>65</v>
      </c>
      <c r="I31" s="16"/>
      <c r="J31" s="16" t="s">
        <v>65</v>
      </c>
      <c r="K31" s="16"/>
      <c r="L31" s="16" t="s">
        <v>65</v>
      </c>
      <c r="M31" s="15">
        <f t="shared" si="6"/>
        <v>0</v>
      </c>
      <c r="N31" s="14">
        <f>M31*70</f>
        <v>0</v>
      </c>
      <c r="O31" s="16" t="s">
        <v>65</v>
      </c>
      <c r="P31" s="16"/>
      <c r="Q31" s="16" t="s">
        <v>65</v>
      </c>
      <c r="R31" s="16" t="s">
        <v>65</v>
      </c>
      <c r="S31" s="16" t="s">
        <v>65</v>
      </c>
      <c r="T31" s="16" t="s">
        <v>65</v>
      </c>
      <c r="U31" s="15">
        <f t="shared" si="7"/>
        <v>0</v>
      </c>
      <c r="V31" s="14">
        <f>U31*70</f>
        <v>0</v>
      </c>
      <c r="W31" s="16"/>
      <c r="X31" s="16" t="s">
        <v>65</v>
      </c>
      <c r="Y31" s="16"/>
      <c r="Z31" s="16" t="s">
        <v>65</v>
      </c>
      <c r="AA31" s="16"/>
      <c r="AB31" s="16"/>
      <c r="AC31" s="15">
        <f t="shared" si="8"/>
        <v>0</v>
      </c>
      <c r="AD31" s="14">
        <f>AC31*70</f>
        <v>0</v>
      </c>
      <c r="AE31" s="16" t="s">
        <v>65</v>
      </c>
      <c r="AF31" s="16" t="s">
        <v>65</v>
      </c>
      <c r="AG31" s="16" t="s">
        <v>65</v>
      </c>
      <c r="AH31" s="16" t="s">
        <v>65</v>
      </c>
      <c r="AI31" s="16"/>
      <c r="AJ31" s="16"/>
      <c r="AK31" s="15">
        <f t="shared" si="9"/>
        <v>0</v>
      </c>
      <c r="AL31" s="14">
        <f>AK31*70</f>
        <v>0</v>
      </c>
    </row>
    <row r="32" spans="2:42" x14ac:dyDescent="0.3">
      <c r="B32" s="42" t="s">
        <v>31</v>
      </c>
      <c r="C32" s="16"/>
      <c r="D32" s="16"/>
      <c r="E32" s="15">
        <f t="shared" si="5"/>
        <v>0</v>
      </c>
      <c r="F32" s="14">
        <f>E32*60</f>
        <v>0</v>
      </c>
      <c r="G32" s="16"/>
      <c r="H32" s="16" t="s">
        <v>65</v>
      </c>
      <c r="I32" s="16"/>
      <c r="J32" s="16" t="s">
        <v>65</v>
      </c>
      <c r="K32" s="16"/>
      <c r="L32" s="16" t="s">
        <v>65</v>
      </c>
      <c r="M32" s="15">
        <f t="shared" si="6"/>
        <v>0</v>
      </c>
      <c r="N32" s="14">
        <f>M32*60</f>
        <v>0</v>
      </c>
      <c r="O32" s="16" t="s">
        <v>65</v>
      </c>
      <c r="P32" s="16"/>
      <c r="Q32" s="16" t="s">
        <v>65</v>
      </c>
      <c r="R32" s="16" t="s">
        <v>65</v>
      </c>
      <c r="S32" s="16" t="s">
        <v>65</v>
      </c>
      <c r="T32" s="16" t="s">
        <v>65</v>
      </c>
      <c r="U32" s="15">
        <f t="shared" si="7"/>
        <v>0</v>
      </c>
      <c r="V32" s="14">
        <f>U32*60</f>
        <v>0</v>
      </c>
      <c r="W32" s="16"/>
      <c r="X32" s="16" t="s">
        <v>65</v>
      </c>
      <c r="Y32" s="16"/>
      <c r="Z32" s="16" t="s">
        <v>65</v>
      </c>
      <c r="AA32" s="16"/>
      <c r="AB32" s="16"/>
      <c r="AC32" s="15">
        <f t="shared" si="8"/>
        <v>0</v>
      </c>
      <c r="AD32" s="14">
        <f>AC32*60</f>
        <v>0</v>
      </c>
      <c r="AE32" s="16" t="s">
        <v>65</v>
      </c>
      <c r="AF32" s="16" t="s">
        <v>65</v>
      </c>
      <c r="AG32" s="16" t="s">
        <v>65</v>
      </c>
      <c r="AH32" s="16" t="s">
        <v>65</v>
      </c>
      <c r="AI32" s="16"/>
      <c r="AJ32" s="16"/>
      <c r="AK32" s="15">
        <f t="shared" si="9"/>
        <v>0</v>
      </c>
      <c r="AL32" s="14">
        <f>AK32*60</f>
        <v>0</v>
      </c>
    </row>
    <row r="33" spans="2:42" x14ac:dyDescent="0.3">
      <c r="B33" s="42" t="s">
        <v>30</v>
      </c>
      <c r="C33" s="16"/>
      <c r="D33" s="16"/>
      <c r="E33" s="15">
        <f t="shared" si="5"/>
        <v>0</v>
      </c>
      <c r="F33" s="14">
        <f>E33*60</f>
        <v>0</v>
      </c>
      <c r="G33" s="16"/>
      <c r="H33" s="16" t="s">
        <v>65</v>
      </c>
      <c r="I33" s="16"/>
      <c r="J33" s="16" t="s">
        <v>65</v>
      </c>
      <c r="K33" s="16"/>
      <c r="L33" s="16" t="s">
        <v>65</v>
      </c>
      <c r="M33" s="15">
        <f t="shared" si="6"/>
        <v>0</v>
      </c>
      <c r="N33" s="14">
        <f>M33*60</f>
        <v>0</v>
      </c>
      <c r="O33" s="16" t="s">
        <v>65</v>
      </c>
      <c r="P33" s="16"/>
      <c r="Q33" s="16" t="s">
        <v>65</v>
      </c>
      <c r="R33" s="16" t="s">
        <v>65</v>
      </c>
      <c r="S33" s="16" t="s">
        <v>65</v>
      </c>
      <c r="T33" s="16" t="s">
        <v>65</v>
      </c>
      <c r="U33" s="15">
        <f t="shared" si="7"/>
        <v>0</v>
      </c>
      <c r="V33" s="14">
        <f>U33*60</f>
        <v>0</v>
      </c>
      <c r="W33" s="16"/>
      <c r="X33" s="16" t="s">
        <v>65</v>
      </c>
      <c r="Y33" s="16"/>
      <c r="Z33" s="16" t="s">
        <v>65</v>
      </c>
      <c r="AA33" s="16"/>
      <c r="AB33" s="16"/>
      <c r="AC33" s="15">
        <f t="shared" si="8"/>
        <v>0</v>
      </c>
      <c r="AD33" s="14">
        <f>AC33*60</f>
        <v>0</v>
      </c>
      <c r="AE33" s="16" t="s">
        <v>65</v>
      </c>
      <c r="AF33" s="16" t="s">
        <v>65</v>
      </c>
      <c r="AG33" s="16" t="s">
        <v>65</v>
      </c>
      <c r="AH33" s="16" t="s">
        <v>65</v>
      </c>
      <c r="AI33" s="16"/>
      <c r="AJ33" s="16"/>
      <c r="AK33" s="15">
        <f t="shared" si="9"/>
        <v>0</v>
      </c>
      <c r="AL33" s="14">
        <f>AK33*60</f>
        <v>0</v>
      </c>
    </row>
    <row r="34" spans="2:42" x14ac:dyDescent="0.3">
      <c r="B34" s="42" t="s">
        <v>29</v>
      </c>
      <c r="C34" s="16"/>
      <c r="D34" s="16"/>
      <c r="E34" s="15">
        <f t="shared" si="5"/>
        <v>0</v>
      </c>
      <c r="F34" s="14">
        <f>E34*40</f>
        <v>0</v>
      </c>
      <c r="G34" s="16"/>
      <c r="H34" s="16" t="s">
        <v>65</v>
      </c>
      <c r="I34" s="16"/>
      <c r="J34" s="16" t="s">
        <v>65</v>
      </c>
      <c r="K34" s="16"/>
      <c r="L34" s="16" t="s">
        <v>65</v>
      </c>
      <c r="M34" s="15">
        <f t="shared" si="6"/>
        <v>0</v>
      </c>
      <c r="N34" s="14">
        <f>M34*40</f>
        <v>0</v>
      </c>
      <c r="O34" s="16" t="s">
        <v>65</v>
      </c>
      <c r="P34" s="16">
        <v>71</v>
      </c>
      <c r="Q34" s="16" t="s">
        <v>65</v>
      </c>
      <c r="R34" s="16" t="s">
        <v>65</v>
      </c>
      <c r="S34" s="16" t="s">
        <v>65</v>
      </c>
      <c r="T34" s="16" t="s">
        <v>65</v>
      </c>
      <c r="U34" s="15">
        <f t="shared" si="7"/>
        <v>71</v>
      </c>
      <c r="V34" s="14">
        <f>U34*40</f>
        <v>2840</v>
      </c>
      <c r="W34" s="16"/>
      <c r="X34" s="16" t="s">
        <v>65</v>
      </c>
      <c r="Y34" s="16"/>
      <c r="Z34" s="16" t="s">
        <v>65</v>
      </c>
      <c r="AA34" s="16"/>
      <c r="AB34" s="16"/>
      <c r="AC34" s="15">
        <f t="shared" si="8"/>
        <v>0</v>
      </c>
      <c r="AD34" s="14">
        <f>AC34*40</f>
        <v>0</v>
      </c>
      <c r="AE34" s="16" t="s">
        <v>65</v>
      </c>
      <c r="AF34" s="16" t="s">
        <v>65</v>
      </c>
      <c r="AG34" s="16" t="s">
        <v>65</v>
      </c>
      <c r="AH34" s="16" t="s">
        <v>65</v>
      </c>
      <c r="AI34" s="16"/>
      <c r="AJ34" s="16"/>
      <c r="AK34" s="15">
        <f t="shared" si="9"/>
        <v>0</v>
      </c>
      <c r="AL34" s="14">
        <f>AK34*40</f>
        <v>0</v>
      </c>
    </row>
    <row r="35" spans="2:42" x14ac:dyDescent="0.3">
      <c r="B35" s="42" t="s">
        <v>28</v>
      </c>
      <c r="C35" s="16">
        <v>40</v>
      </c>
      <c r="D35" s="16"/>
      <c r="E35" s="15">
        <f t="shared" si="5"/>
        <v>40</v>
      </c>
      <c r="F35" s="14">
        <f>E35*40</f>
        <v>1600</v>
      </c>
      <c r="G35" s="16">
        <v>35</v>
      </c>
      <c r="H35" s="16">
        <v>2</v>
      </c>
      <c r="I35" s="16">
        <v>60</v>
      </c>
      <c r="J35" s="16">
        <v>30</v>
      </c>
      <c r="K35" s="16"/>
      <c r="L35" s="16" t="s">
        <v>65</v>
      </c>
      <c r="M35" s="15">
        <f t="shared" si="6"/>
        <v>127</v>
      </c>
      <c r="N35" s="14">
        <f>M35*40</f>
        <v>5080</v>
      </c>
      <c r="O35" s="16">
        <v>1</v>
      </c>
      <c r="P35" s="16">
        <v>50</v>
      </c>
      <c r="Q35" s="16">
        <v>13</v>
      </c>
      <c r="R35" s="16" t="s">
        <v>65</v>
      </c>
      <c r="S35" s="16" t="s">
        <v>65</v>
      </c>
      <c r="T35" s="16">
        <v>55</v>
      </c>
      <c r="U35" s="15">
        <f t="shared" si="7"/>
        <v>119</v>
      </c>
      <c r="V35" s="14">
        <f>U35*40</f>
        <v>4760</v>
      </c>
      <c r="W35" s="16">
        <v>9</v>
      </c>
      <c r="X35" s="16" t="s">
        <v>65</v>
      </c>
      <c r="Y35" s="16">
        <v>5</v>
      </c>
      <c r="Z35" s="16" t="s">
        <v>65</v>
      </c>
      <c r="AA35" s="16"/>
      <c r="AB35" s="16"/>
      <c r="AC35" s="15">
        <f t="shared" si="8"/>
        <v>14</v>
      </c>
      <c r="AD35" s="14">
        <f>AC35*40</f>
        <v>560</v>
      </c>
      <c r="AE35" s="16" t="s">
        <v>65</v>
      </c>
      <c r="AF35" s="16">
        <v>24</v>
      </c>
      <c r="AG35" s="16">
        <v>3</v>
      </c>
      <c r="AH35" s="16">
        <v>44</v>
      </c>
      <c r="AI35" s="16">
        <v>20</v>
      </c>
      <c r="AJ35" s="16"/>
      <c r="AK35" s="15">
        <f t="shared" si="9"/>
        <v>91</v>
      </c>
      <c r="AL35" s="14">
        <f>AK35*40</f>
        <v>3640</v>
      </c>
    </row>
    <row r="36" spans="2:42" x14ac:dyDescent="0.3">
      <c r="B36" s="42" t="s">
        <v>27</v>
      </c>
      <c r="C36" s="16"/>
      <c r="D36" s="16"/>
      <c r="E36" s="15">
        <f t="shared" si="5"/>
        <v>0</v>
      </c>
      <c r="F36" s="14">
        <f>E36*76</f>
        <v>0</v>
      </c>
      <c r="G36" s="16"/>
      <c r="H36" s="16" t="s">
        <v>65</v>
      </c>
      <c r="I36" s="16" t="s">
        <v>65</v>
      </c>
      <c r="J36" s="16" t="s">
        <v>65</v>
      </c>
      <c r="K36" s="16">
        <v>24</v>
      </c>
      <c r="L36" s="16" t="s">
        <v>65</v>
      </c>
      <c r="M36" s="15">
        <f t="shared" si="6"/>
        <v>24</v>
      </c>
      <c r="N36" s="14">
        <f>M36*76</f>
        <v>1824</v>
      </c>
      <c r="O36" s="16" t="s">
        <v>65</v>
      </c>
      <c r="P36" s="16" t="s">
        <v>65</v>
      </c>
      <c r="Q36" s="16" t="s">
        <v>65</v>
      </c>
      <c r="R36" s="16" t="s">
        <v>65</v>
      </c>
      <c r="S36" s="16" t="s">
        <v>65</v>
      </c>
      <c r="T36" s="16" t="s">
        <v>65</v>
      </c>
      <c r="U36" s="15">
        <f t="shared" si="7"/>
        <v>0</v>
      </c>
      <c r="V36" s="14">
        <f>U36*76</f>
        <v>0</v>
      </c>
      <c r="W36" s="16" t="s">
        <v>65</v>
      </c>
      <c r="X36" s="16" t="s">
        <v>65</v>
      </c>
      <c r="Y36" s="16"/>
      <c r="Z36" s="16" t="s">
        <v>65</v>
      </c>
      <c r="AA36" s="16"/>
      <c r="AB36" s="16">
        <v>38</v>
      </c>
      <c r="AC36" s="15">
        <f t="shared" si="8"/>
        <v>38</v>
      </c>
      <c r="AD36" s="14">
        <f>AC36*76</f>
        <v>2888</v>
      </c>
      <c r="AE36" s="16" t="s">
        <v>65</v>
      </c>
      <c r="AF36" s="16" t="s">
        <v>65</v>
      </c>
      <c r="AG36" s="16" t="s">
        <v>65</v>
      </c>
      <c r="AH36" s="16" t="s">
        <v>65</v>
      </c>
      <c r="AI36" s="16"/>
      <c r="AJ36" s="16"/>
      <c r="AK36" s="15">
        <f t="shared" si="9"/>
        <v>0</v>
      </c>
      <c r="AL36" s="14">
        <f>AK36*76</f>
        <v>0</v>
      </c>
    </row>
    <row r="37" spans="2:42" x14ac:dyDescent="0.3">
      <c r="B37" s="42" t="s">
        <v>26</v>
      </c>
      <c r="C37" s="16"/>
      <c r="D37" s="16"/>
      <c r="E37" s="15">
        <f t="shared" si="5"/>
        <v>0</v>
      </c>
      <c r="F37" s="14">
        <f>E37*90</f>
        <v>0</v>
      </c>
      <c r="G37" s="16"/>
      <c r="H37" s="16" t="s">
        <v>65</v>
      </c>
      <c r="I37" s="16" t="s">
        <v>65</v>
      </c>
      <c r="J37" s="16" t="s">
        <v>65</v>
      </c>
      <c r="K37" s="16"/>
      <c r="L37" s="16" t="s">
        <v>65</v>
      </c>
      <c r="M37" s="15">
        <f t="shared" si="6"/>
        <v>0</v>
      </c>
      <c r="N37" s="14">
        <f>M37*90</f>
        <v>0</v>
      </c>
      <c r="O37" s="16" t="s">
        <v>65</v>
      </c>
      <c r="P37" s="16" t="s">
        <v>65</v>
      </c>
      <c r="Q37" s="16" t="s">
        <v>65</v>
      </c>
      <c r="R37" s="16" t="s">
        <v>65</v>
      </c>
      <c r="S37" s="16" t="s">
        <v>65</v>
      </c>
      <c r="T37" s="16" t="s">
        <v>65</v>
      </c>
      <c r="U37" s="15">
        <f t="shared" si="7"/>
        <v>0</v>
      </c>
      <c r="V37" s="14">
        <f>U37*90</f>
        <v>0</v>
      </c>
      <c r="W37" s="16" t="s">
        <v>65</v>
      </c>
      <c r="X37" s="16" t="s">
        <v>65</v>
      </c>
      <c r="Y37" s="16"/>
      <c r="Z37" s="16" t="s">
        <v>65</v>
      </c>
      <c r="AA37" s="16"/>
      <c r="AB37" s="16"/>
      <c r="AC37" s="15">
        <f t="shared" si="8"/>
        <v>0</v>
      </c>
      <c r="AD37" s="14">
        <f>AC37*90</f>
        <v>0</v>
      </c>
      <c r="AE37" s="16" t="s">
        <v>65</v>
      </c>
      <c r="AF37" s="16" t="s">
        <v>65</v>
      </c>
      <c r="AG37" s="16" t="s">
        <v>65</v>
      </c>
      <c r="AH37" s="16" t="s">
        <v>65</v>
      </c>
      <c r="AI37" s="16"/>
      <c r="AJ37" s="16"/>
      <c r="AK37" s="15">
        <f t="shared" si="9"/>
        <v>0</v>
      </c>
      <c r="AL37" s="14">
        <f>AK37*90</f>
        <v>0</v>
      </c>
    </row>
    <row r="38" spans="2:42" x14ac:dyDescent="0.3">
      <c r="B38" s="42" t="s">
        <v>25</v>
      </c>
      <c r="C38" s="16"/>
      <c r="D38" s="16"/>
      <c r="E38" s="15">
        <f t="shared" si="5"/>
        <v>0</v>
      </c>
      <c r="F38" s="14">
        <f>E38*91</f>
        <v>0</v>
      </c>
      <c r="G38" s="16"/>
      <c r="H38" s="16" t="s">
        <v>65</v>
      </c>
      <c r="I38" s="16" t="s">
        <v>65</v>
      </c>
      <c r="J38" s="16" t="s">
        <v>65</v>
      </c>
      <c r="K38" s="16"/>
      <c r="L38" s="16" t="s">
        <v>65</v>
      </c>
      <c r="M38" s="15">
        <f t="shared" si="6"/>
        <v>0</v>
      </c>
      <c r="N38" s="14">
        <f>M38*91</f>
        <v>0</v>
      </c>
      <c r="O38" s="16" t="s">
        <v>65</v>
      </c>
      <c r="P38" s="16" t="s">
        <v>65</v>
      </c>
      <c r="Q38" s="16" t="s">
        <v>65</v>
      </c>
      <c r="R38" s="16" t="s">
        <v>65</v>
      </c>
      <c r="S38" s="16" t="s">
        <v>65</v>
      </c>
      <c r="T38" s="16" t="s">
        <v>65</v>
      </c>
      <c r="U38" s="15">
        <f t="shared" si="7"/>
        <v>0</v>
      </c>
      <c r="V38" s="14">
        <f>U38*91</f>
        <v>0</v>
      </c>
      <c r="W38" s="16" t="s">
        <v>65</v>
      </c>
      <c r="X38" s="16" t="s">
        <v>65</v>
      </c>
      <c r="Y38" s="16"/>
      <c r="Z38" s="16"/>
      <c r="AA38" s="16"/>
      <c r="AB38" s="16"/>
      <c r="AC38" s="15">
        <f t="shared" si="8"/>
        <v>0</v>
      </c>
      <c r="AD38" s="14">
        <f>AC38*91</f>
        <v>0</v>
      </c>
      <c r="AE38" s="16" t="s">
        <v>65</v>
      </c>
      <c r="AF38" s="16" t="s">
        <v>65</v>
      </c>
      <c r="AG38" s="16" t="s">
        <v>65</v>
      </c>
      <c r="AH38" s="16" t="s">
        <v>65</v>
      </c>
      <c r="AI38" s="16"/>
      <c r="AJ38" s="16"/>
      <c r="AK38" s="15">
        <f t="shared" si="9"/>
        <v>0</v>
      </c>
      <c r="AL38" s="14">
        <f>AK38*91</f>
        <v>0</v>
      </c>
    </row>
    <row r="39" spans="2:42" x14ac:dyDescent="0.3">
      <c r="B39" s="42" t="s">
        <v>24</v>
      </c>
      <c r="C39" s="16"/>
      <c r="D39" s="16"/>
      <c r="E39" s="15">
        <f t="shared" si="5"/>
        <v>0</v>
      </c>
      <c r="F39" s="14">
        <f>E39*90</f>
        <v>0</v>
      </c>
      <c r="G39" s="16"/>
      <c r="H39" s="16" t="s">
        <v>65</v>
      </c>
      <c r="I39" s="16" t="s">
        <v>65</v>
      </c>
      <c r="J39" s="16" t="s">
        <v>65</v>
      </c>
      <c r="K39" s="16"/>
      <c r="L39" s="16" t="s">
        <v>65</v>
      </c>
      <c r="M39" s="15">
        <f t="shared" si="6"/>
        <v>0</v>
      </c>
      <c r="N39" s="14">
        <f>M39*90</f>
        <v>0</v>
      </c>
      <c r="O39" s="16" t="s">
        <v>65</v>
      </c>
      <c r="P39" s="16" t="s">
        <v>65</v>
      </c>
      <c r="Q39" s="16" t="s">
        <v>65</v>
      </c>
      <c r="R39" s="16" t="s">
        <v>65</v>
      </c>
      <c r="S39" s="16" t="s">
        <v>65</v>
      </c>
      <c r="T39" s="16" t="s">
        <v>65</v>
      </c>
      <c r="U39" s="15">
        <f t="shared" si="7"/>
        <v>0</v>
      </c>
      <c r="V39" s="14">
        <f>U39*90</f>
        <v>0</v>
      </c>
      <c r="W39" s="16"/>
      <c r="X39" s="16" t="s">
        <v>65</v>
      </c>
      <c r="Y39" s="16"/>
      <c r="Z39" s="16"/>
      <c r="AA39" s="16"/>
      <c r="AB39" s="16"/>
      <c r="AC39" s="15">
        <f t="shared" si="8"/>
        <v>0</v>
      </c>
      <c r="AD39" s="14">
        <f>AC39*90</f>
        <v>0</v>
      </c>
      <c r="AE39" s="16" t="s">
        <v>65</v>
      </c>
      <c r="AF39" s="16" t="s">
        <v>65</v>
      </c>
      <c r="AG39" s="16" t="s">
        <v>65</v>
      </c>
      <c r="AH39" s="16" t="s">
        <v>65</v>
      </c>
      <c r="AI39" s="16"/>
      <c r="AJ39" s="16"/>
      <c r="AK39" s="15">
        <f t="shared" si="9"/>
        <v>0</v>
      </c>
      <c r="AL39" s="14">
        <f>AK39*90</f>
        <v>0</v>
      </c>
    </row>
    <row r="40" spans="2:42" x14ac:dyDescent="0.3">
      <c r="B40" s="42" t="s">
        <v>23</v>
      </c>
      <c r="C40" s="16"/>
      <c r="D40" s="16"/>
      <c r="E40" s="15">
        <f t="shared" si="5"/>
        <v>0</v>
      </c>
      <c r="F40" s="14">
        <f>E40*76</f>
        <v>0</v>
      </c>
      <c r="G40" s="16"/>
      <c r="H40" s="16" t="s">
        <v>65</v>
      </c>
      <c r="I40" s="16" t="s">
        <v>65</v>
      </c>
      <c r="J40" s="16" t="s">
        <v>65</v>
      </c>
      <c r="K40" s="16">
        <v>18</v>
      </c>
      <c r="L40" s="16" t="s">
        <v>65</v>
      </c>
      <c r="M40" s="15">
        <f t="shared" si="6"/>
        <v>18</v>
      </c>
      <c r="N40" s="14">
        <f>M40*76</f>
        <v>1368</v>
      </c>
      <c r="O40" s="16" t="s">
        <v>65</v>
      </c>
      <c r="P40" s="16" t="s">
        <v>65</v>
      </c>
      <c r="Q40" s="16" t="s">
        <v>65</v>
      </c>
      <c r="R40" s="16" t="s">
        <v>65</v>
      </c>
      <c r="S40" s="16" t="s">
        <v>65</v>
      </c>
      <c r="T40" s="16" t="s">
        <v>65</v>
      </c>
      <c r="U40" s="15">
        <f t="shared" si="7"/>
        <v>0</v>
      </c>
      <c r="V40" s="14">
        <f>U40*76</f>
        <v>0</v>
      </c>
      <c r="W40" s="16"/>
      <c r="X40" s="16" t="s">
        <v>65</v>
      </c>
      <c r="Y40" s="16"/>
      <c r="Z40" s="16"/>
      <c r="AA40" s="16"/>
      <c r="AB40" s="16">
        <v>10</v>
      </c>
      <c r="AC40" s="15">
        <f t="shared" si="8"/>
        <v>10</v>
      </c>
      <c r="AD40" s="14">
        <f>AC40*76</f>
        <v>760</v>
      </c>
      <c r="AE40" s="16" t="s">
        <v>65</v>
      </c>
      <c r="AF40" s="16" t="s">
        <v>65</v>
      </c>
      <c r="AG40" s="16" t="s">
        <v>65</v>
      </c>
      <c r="AH40" s="16" t="s">
        <v>65</v>
      </c>
      <c r="AI40" s="16"/>
      <c r="AJ40" s="16"/>
      <c r="AK40" s="15">
        <f t="shared" si="9"/>
        <v>0</v>
      </c>
      <c r="AL40" s="14">
        <f>AK40*76</f>
        <v>0</v>
      </c>
    </row>
    <row r="41" spans="2:42" x14ac:dyDescent="0.3">
      <c r="B41" s="42" t="s">
        <v>22</v>
      </c>
      <c r="C41" s="16"/>
      <c r="D41" s="16"/>
      <c r="E41" s="15">
        <f t="shared" si="5"/>
        <v>0</v>
      </c>
      <c r="F41" s="14">
        <f>E41*100</f>
        <v>0</v>
      </c>
      <c r="G41" s="16"/>
      <c r="H41" s="16" t="s">
        <v>65</v>
      </c>
      <c r="I41" s="16" t="s">
        <v>65</v>
      </c>
      <c r="J41" s="16" t="s">
        <v>65</v>
      </c>
      <c r="K41" s="16"/>
      <c r="L41" s="16" t="s">
        <v>65</v>
      </c>
      <c r="M41" s="15">
        <f t="shared" si="6"/>
        <v>0</v>
      </c>
      <c r="N41" s="14">
        <f>M41*100</f>
        <v>0</v>
      </c>
      <c r="O41" s="16" t="s">
        <v>65</v>
      </c>
      <c r="P41" s="16" t="s">
        <v>65</v>
      </c>
      <c r="Q41" s="16" t="s">
        <v>65</v>
      </c>
      <c r="R41" s="16" t="s">
        <v>65</v>
      </c>
      <c r="S41" s="16" t="s">
        <v>65</v>
      </c>
      <c r="T41" s="16" t="s">
        <v>65</v>
      </c>
      <c r="U41" s="15">
        <f t="shared" si="7"/>
        <v>0</v>
      </c>
      <c r="V41" s="14">
        <f>U41*100</f>
        <v>0</v>
      </c>
      <c r="W41" s="16"/>
      <c r="X41" s="16"/>
      <c r="Y41" s="16"/>
      <c r="Z41" s="16"/>
      <c r="AA41" s="16"/>
      <c r="AB41" s="16"/>
      <c r="AC41" s="15">
        <f t="shared" si="8"/>
        <v>0</v>
      </c>
      <c r="AD41" s="14">
        <f>AC41*100</f>
        <v>0</v>
      </c>
      <c r="AE41" s="16" t="s">
        <v>65</v>
      </c>
      <c r="AF41" s="16" t="s">
        <v>65</v>
      </c>
      <c r="AG41" s="16" t="s">
        <v>65</v>
      </c>
      <c r="AH41" s="16" t="s">
        <v>65</v>
      </c>
      <c r="AI41" s="16"/>
      <c r="AJ41" s="16"/>
      <c r="AK41" s="15">
        <f t="shared" si="9"/>
        <v>0</v>
      </c>
      <c r="AL41" s="14">
        <f>AK41*100</f>
        <v>0</v>
      </c>
    </row>
    <row r="42" spans="2:42" x14ac:dyDescent="0.3">
      <c r="B42" s="42" t="s">
        <v>21</v>
      </c>
      <c r="C42" s="16"/>
      <c r="D42" s="16"/>
      <c r="E42" s="15">
        <f t="shared" si="5"/>
        <v>0</v>
      </c>
      <c r="F42" s="14">
        <f>E42*100</f>
        <v>0</v>
      </c>
      <c r="G42" s="16"/>
      <c r="H42" s="16" t="s">
        <v>65</v>
      </c>
      <c r="I42" s="16" t="s">
        <v>65</v>
      </c>
      <c r="J42" s="16" t="s">
        <v>65</v>
      </c>
      <c r="K42" s="16"/>
      <c r="L42" s="16" t="s">
        <v>65</v>
      </c>
      <c r="M42" s="15">
        <f t="shared" si="6"/>
        <v>0</v>
      </c>
      <c r="N42" s="14">
        <f>M42*100</f>
        <v>0</v>
      </c>
      <c r="O42" s="16" t="s">
        <v>65</v>
      </c>
      <c r="P42" s="16" t="s">
        <v>65</v>
      </c>
      <c r="Q42" s="16" t="s">
        <v>65</v>
      </c>
      <c r="R42" s="16" t="s">
        <v>65</v>
      </c>
      <c r="S42" s="16" t="s">
        <v>65</v>
      </c>
      <c r="T42" s="16" t="s">
        <v>65</v>
      </c>
      <c r="U42" s="15">
        <f t="shared" si="7"/>
        <v>0</v>
      </c>
      <c r="V42" s="14">
        <f>U42*100</f>
        <v>0</v>
      </c>
      <c r="W42" s="16"/>
      <c r="X42" s="16"/>
      <c r="Y42" s="16"/>
      <c r="Z42" s="16"/>
      <c r="AA42" s="16"/>
      <c r="AB42" s="16"/>
      <c r="AC42" s="15">
        <f t="shared" si="8"/>
        <v>0</v>
      </c>
      <c r="AD42" s="14">
        <f>AC42*100</f>
        <v>0</v>
      </c>
      <c r="AE42" s="16" t="s">
        <v>65</v>
      </c>
      <c r="AF42" s="16" t="s">
        <v>65</v>
      </c>
      <c r="AG42" s="16" t="s">
        <v>65</v>
      </c>
      <c r="AH42" s="16" t="s">
        <v>65</v>
      </c>
      <c r="AI42" s="16"/>
      <c r="AJ42" s="16"/>
      <c r="AK42" s="15">
        <f t="shared" si="9"/>
        <v>0</v>
      </c>
      <c r="AL42" s="14">
        <f>AK42*100</f>
        <v>0</v>
      </c>
    </row>
    <row r="43" spans="2:42" x14ac:dyDescent="0.3">
      <c r="B43" s="42" t="s">
        <v>20</v>
      </c>
      <c r="C43" s="16"/>
      <c r="D43" s="16"/>
      <c r="E43" s="15">
        <f t="shared" si="5"/>
        <v>0</v>
      </c>
      <c r="F43" s="14">
        <f>E43*78</f>
        <v>0</v>
      </c>
      <c r="G43" s="16"/>
      <c r="H43" s="16" t="s">
        <v>65</v>
      </c>
      <c r="I43" s="16" t="s">
        <v>65</v>
      </c>
      <c r="J43" s="16" t="s">
        <v>65</v>
      </c>
      <c r="K43" s="16">
        <v>14</v>
      </c>
      <c r="L43" s="16" t="s">
        <v>65</v>
      </c>
      <c r="M43" s="15">
        <f t="shared" si="6"/>
        <v>14</v>
      </c>
      <c r="N43" s="14">
        <f>M43*78</f>
        <v>1092</v>
      </c>
      <c r="O43" s="16" t="s">
        <v>65</v>
      </c>
      <c r="P43" s="16" t="s">
        <v>65</v>
      </c>
      <c r="Q43" s="16" t="s">
        <v>65</v>
      </c>
      <c r="R43" s="16" t="s">
        <v>65</v>
      </c>
      <c r="S43" s="16" t="s">
        <v>65</v>
      </c>
      <c r="T43" s="16" t="s">
        <v>65</v>
      </c>
      <c r="U43" s="15">
        <f t="shared" si="7"/>
        <v>0</v>
      </c>
      <c r="V43" s="14">
        <f>U43*78</f>
        <v>0</v>
      </c>
      <c r="W43" s="16"/>
      <c r="X43" s="16"/>
      <c r="Y43" s="16"/>
      <c r="Z43" s="16"/>
      <c r="AA43" s="16"/>
      <c r="AB43" s="16">
        <v>20</v>
      </c>
      <c r="AC43" s="15">
        <f t="shared" si="8"/>
        <v>20</v>
      </c>
      <c r="AD43" s="14">
        <f>AC43*78</f>
        <v>1560</v>
      </c>
      <c r="AE43" s="16" t="s">
        <v>65</v>
      </c>
      <c r="AF43" s="16" t="s">
        <v>65</v>
      </c>
      <c r="AG43" s="16" t="s">
        <v>65</v>
      </c>
      <c r="AH43" s="16" t="s">
        <v>65</v>
      </c>
      <c r="AI43" s="16"/>
      <c r="AJ43" s="16"/>
      <c r="AK43" s="15">
        <f t="shared" si="9"/>
        <v>0</v>
      </c>
      <c r="AL43" s="14">
        <f>AK43*78</f>
        <v>0</v>
      </c>
    </row>
    <row r="44" spans="2:42" ht="15.6" x14ac:dyDescent="0.3">
      <c r="B44" s="17" t="s">
        <v>19</v>
      </c>
      <c r="C44" s="16"/>
      <c r="D44" s="16">
        <v>100</v>
      </c>
      <c r="E44" s="15">
        <f t="shared" si="5"/>
        <v>100</v>
      </c>
      <c r="F44" s="14">
        <f>E44*99</f>
        <v>9900</v>
      </c>
      <c r="G44" s="16"/>
      <c r="H44" s="16">
        <v>40</v>
      </c>
      <c r="I44" s="16" t="s">
        <v>65</v>
      </c>
      <c r="J44" s="16" t="s">
        <v>65</v>
      </c>
      <c r="K44" s="16"/>
      <c r="L44" s="16" t="s">
        <v>65</v>
      </c>
      <c r="M44" s="15">
        <f t="shared" si="6"/>
        <v>40</v>
      </c>
      <c r="N44" s="14">
        <f>M44*98</f>
        <v>3920</v>
      </c>
      <c r="O44" s="16" t="s">
        <v>65</v>
      </c>
      <c r="P44" s="16">
        <v>60</v>
      </c>
      <c r="Q44" s="16" t="s">
        <v>65</v>
      </c>
      <c r="R44" s="16">
        <v>100</v>
      </c>
      <c r="S44" s="16" t="s">
        <v>65</v>
      </c>
      <c r="T44" s="16" t="s">
        <v>65</v>
      </c>
      <c r="U44" s="15">
        <f t="shared" si="7"/>
        <v>160</v>
      </c>
      <c r="V44" s="14">
        <f>U44*99</f>
        <v>15840</v>
      </c>
      <c r="W44" s="16">
        <v>40</v>
      </c>
      <c r="X44" s="16">
        <v>15</v>
      </c>
      <c r="Y44" s="16"/>
      <c r="Z44" s="16">
        <v>67</v>
      </c>
      <c r="AA44" s="16"/>
      <c r="AB44" s="16"/>
      <c r="AC44" s="15">
        <f>SUM(W44:AB44)</f>
        <v>122</v>
      </c>
      <c r="AD44" s="14">
        <f>AC44*96</f>
        <v>11712</v>
      </c>
      <c r="AE44" s="16">
        <v>25</v>
      </c>
      <c r="AF44" s="16" t="s">
        <v>65</v>
      </c>
      <c r="AG44" s="16">
        <v>80</v>
      </c>
      <c r="AH44" s="16">
        <v>10</v>
      </c>
      <c r="AI44" s="16">
        <v>48</v>
      </c>
      <c r="AJ44" s="16"/>
      <c r="AK44" s="15">
        <f t="shared" si="9"/>
        <v>163</v>
      </c>
      <c r="AL44" s="14">
        <f>AK44*96</f>
        <v>15648</v>
      </c>
      <c r="AN44" s="41"/>
      <c r="AO44" s="40"/>
    </row>
    <row r="45" spans="2:42" x14ac:dyDescent="0.3">
      <c r="B45" s="17" t="s">
        <v>18</v>
      </c>
      <c r="C45" s="16"/>
      <c r="D45" s="16">
        <v>37</v>
      </c>
      <c r="E45" s="15">
        <f t="shared" si="5"/>
        <v>37</v>
      </c>
      <c r="F45" s="14">
        <f>E45*101</f>
        <v>3737</v>
      </c>
      <c r="G45" s="16">
        <v>5</v>
      </c>
      <c r="H45" s="16">
        <v>1</v>
      </c>
      <c r="I45" s="16" t="s">
        <v>65</v>
      </c>
      <c r="J45" s="16">
        <v>30</v>
      </c>
      <c r="K45" s="16">
        <v>80</v>
      </c>
      <c r="L45" s="16" t="s">
        <v>65</v>
      </c>
      <c r="M45" s="15">
        <f t="shared" si="6"/>
        <v>116</v>
      </c>
      <c r="N45" s="14">
        <f>M45*100</f>
        <v>11600</v>
      </c>
      <c r="O45" s="16" t="s">
        <v>65</v>
      </c>
      <c r="P45" s="16"/>
      <c r="Q45" s="16" t="s">
        <v>65</v>
      </c>
      <c r="R45" s="16"/>
      <c r="S45" s="16">
        <v>50</v>
      </c>
      <c r="T45" s="16" t="s">
        <v>65</v>
      </c>
      <c r="U45" s="15">
        <f t="shared" si="7"/>
        <v>50</v>
      </c>
      <c r="V45" s="14">
        <f>U45*101</f>
        <v>5050</v>
      </c>
      <c r="W45" s="16"/>
      <c r="X45" s="16"/>
      <c r="Y45" s="16"/>
      <c r="Z45" s="16"/>
      <c r="AA45" s="16"/>
      <c r="AB45" s="16"/>
      <c r="AC45" s="15">
        <f>SUM(W45:AB45)</f>
        <v>0</v>
      </c>
      <c r="AD45" s="14">
        <f>AC45*98</f>
        <v>0</v>
      </c>
      <c r="AE45" s="16" t="s">
        <v>65</v>
      </c>
      <c r="AF45" s="16" t="s">
        <v>65</v>
      </c>
      <c r="AG45" s="16"/>
      <c r="AH45" s="16"/>
      <c r="AI45" s="16">
        <v>65</v>
      </c>
      <c r="AJ45" s="16"/>
      <c r="AK45" s="15">
        <f t="shared" si="9"/>
        <v>65</v>
      </c>
      <c r="AL45" s="14">
        <f>AK45*98</f>
        <v>6370</v>
      </c>
    </row>
    <row r="46" spans="2:42" x14ac:dyDescent="0.3">
      <c r="B46" s="17" t="s">
        <v>17</v>
      </c>
      <c r="C46" s="16"/>
      <c r="D46" s="16">
        <v>10</v>
      </c>
      <c r="E46" s="15">
        <f t="shared" si="5"/>
        <v>10</v>
      </c>
      <c r="F46" s="14">
        <f>E46*99</f>
        <v>990</v>
      </c>
      <c r="G46" s="16">
        <v>8</v>
      </c>
      <c r="H46" s="16">
        <v>20</v>
      </c>
      <c r="I46" s="16">
        <v>21</v>
      </c>
      <c r="J46" s="16"/>
      <c r="K46" s="16"/>
      <c r="L46" s="16">
        <v>16</v>
      </c>
      <c r="M46" s="15">
        <f t="shared" si="6"/>
        <v>65</v>
      </c>
      <c r="N46" s="14">
        <f>M46*98</f>
        <v>6370</v>
      </c>
      <c r="O46" s="16">
        <v>8</v>
      </c>
      <c r="P46" s="16"/>
      <c r="Q46" s="16">
        <v>15</v>
      </c>
      <c r="R46" s="16">
        <v>20</v>
      </c>
      <c r="S46" s="16"/>
      <c r="T46" s="16" t="s">
        <v>65</v>
      </c>
      <c r="U46" s="15">
        <f t="shared" si="7"/>
        <v>43</v>
      </c>
      <c r="V46" s="14">
        <f>U46*99</f>
        <v>4257</v>
      </c>
      <c r="W46" s="16">
        <v>6</v>
      </c>
      <c r="X46" s="16"/>
      <c r="Y46" s="16">
        <v>35</v>
      </c>
      <c r="Z46" s="16">
        <v>20</v>
      </c>
      <c r="AA46" s="16">
        <v>20</v>
      </c>
      <c r="AB46" s="16"/>
      <c r="AC46" s="15">
        <f>SUM(W46:AB46)</f>
        <v>81</v>
      </c>
      <c r="AD46" s="14">
        <f>AC46*96</f>
        <v>7776</v>
      </c>
      <c r="AE46" s="16">
        <v>6</v>
      </c>
      <c r="AF46" s="16">
        <v>8</v>
      </c>
      <c r="AG46" s="16">
        <v>15</v>
      </c>
      <c r="AH46" s="16">
        <v>45</v>
      </c>
      <c r="AI46" s="16"/>
      <c r="AJ46" s="16"/>
      <c r="AK46" s="15">
        <f t="shared" si="9"/>
        <v>74</v>
      </c>
      <c r="AL46" s="14">
        <f>AK46*96</f>
        <v>7104</v>
      </c>
    </row>
    <row r="47" spans="2:42" x14ac:dyDescent="0.3">
      <c r="B47" s="17" t="s">
        <v>14</v>
      </c>
      <c r="C47" s="16">
        <v>30</v>
      </c>
      <c r="D47" s="16">
        <v>29</v>
      </c>
      <c r="E47" s="15">
        <f t="shared" si="5"/>
        <v>59</v>
      </c>
      <c r="F47" s="14">
        <f>E47*50</f>
        <v>2950</v>
      </c>
      <c r="G47" s="16">
        <v>42</v>
      </c>
      <c r="H47" s="16">
        <v>89</v>
      </c>
      <c r="I47" s="16">
        <v>13</v>
      </c>
      <c r="J47" s="16">
        <v>25</v>
      </c>
      <c r="K47" s="16">
        <v>40</v>
      </c>
      <c r="L47" s="16" t="s">
        <v>65</v>
      </c>
      <c r="M47" s="15">
        <f t="shared" si="6"/>
        <v>209</v>
      </c>
      <c r="N47" s="14">
        <f>M47*50</f>
        <v>10450</v>
      </c>
      <c r="O47" s="16">
        <v>9</v>
      </c>
      <c r="P47" s="16">
        <v>20</v>
      </c>
      <c r="Q47" s="16">
        <v>80</v>
      </c>
      <c r="R47" s="16">
        <v>45</v>
      </c>
      <c r="S47" s="16">
        <v>21</v>
      </c>
      <c r="T47" s="16">
        <v>21</v>
      </c>
      <c r="U47" s="15">
        <f t="shared" si="7"/>
        <v>196</v>
      </c>
      <c r="V47" s="14">
        <f>U47*54</f>
        <v>10584</v>
      </c>
      <c r="W47" s="16">
        <v>45</v>
      </c>
      <c r="X47" s="16"/>
      <c r="Y47" s="16">
        <v>75</v>
      </c>
      <c r="Z47" s="16">
        <v>38</v>
      </c>
      <c r="AA47" s="16"/>
      <c r="AB47" s="16"/>
      <c r="AC47" s="15">
        <f>SUM(W47:AB47)</f>
        <v>158</v>
      </c>
      <c r="AD47" s="14">
        <f>AC47*54</f>
        <v>8532</v>
      </c>
      <c r="AE47" s="16">
        <v>61</v>
      </c>
      <c r="AF47" s="16">
        <v>44</v>
      </c>
      <c r="AG47" s="16">
        <v>90</v>
      </c>
      <c r="AH47" s="16">
        <v>15</v>
      </c>
      <c r="AI47" s="16">
        <v>54</v>
      </c>
      <c r="AJ47" s="16"/>
      <c r="AK47" s="15">
        <f t="shared" si="9"/>
        <v>264</v>
      </c>
      <c r="AL47" s="14">
        <f>AK47*54</f>
        <v>14256</v>
      </c>
    </row>
    <row r="48" spans="2:42" ht="15.6" x14ac:dyDescent="0.3">
      <c r="C48" s="10"/>
      <c r="D48" s="10"/>
      <c r="E48" s="39">
        <f>SUM(E20:E43)</f>
        <v>214</v>
      </c>
      <c r="F48" s="38">
        <f>SUM(F20:F43)</f>
        <v>15905</v>
      </c>
      <c r="G48" s="10"/>
      <c r="H48" s="10"/>
      <c r="I48" s="10"/>
      <c r="J48" s="10"/>
      <c r="K48" s="10"/>
      <c r="L48" s="10"/>
      <c r="M48" s="39">
        <f>SUM(M20:M43)</f>
        <v>332</v>
      </c>
      <c r="N48" s="38">
        <f>SUM(N20:N43)</f>
        <v>21377</v>
      </c>
      <c r="O48" s="10"/>
      <c r="P48" s="10"/>
      <c r="Q48" s="10"/>
      <c r="R48" s="10"/>
      <c r="S48" s="10"/>
      <c r="T48" s="10"/>
      <c r="U48" s="39">
        <f>SUM(U20:U43)</f>
        <v>542</v>
      </c>
      <c r="V48" s="38">
        <f>SUM(V20:V43)</f>
        <v>36138</v>
      </c>
      <c r="W48" s="10"/>
      <c r="X48" s="10"/>
      <c r="Y48" s="10"/>
      <c r="Z48" s="10"/>
      <c r="AA48" s="10"/>
      <c r="AB48" s="10"/>
      <c r="AC48" s="39">
        <f>SUM(AC20:AC43)</f>
        <v>477</v>
      </c>
      <c r="AD48" s="38">
        <f>SUM(AD20:AD43)</f>
        <v>38411</v>
      </c>
      <c r="AE48" s="10"/>
      <c r="AF48" s="10"/>
      <c r="AG48" s="10"/>
      <c r="AH48" s="10"/>
      <c r="AI48" s="10"/>
      <c r="AJ48" s="10"/>
      <c r="AK48" s="39">
        <f>SUM(AK20:AK43)</f>
        <v>157</v>
      </c>
      <c r="AL48" s="38">
        <f>SUM(AL20:AL43)</f>
        <v>9152</v>
      </c>
      <c r="AN48" s="35" t="s">
        <v>15</v>
      </c>
      <c r="AO48" s="37">
        <f>E51+M51+U51+AC51+AK51</f>
        <v>1126</v>
      </c>
      <c r="AP48" s="30">
        <f>AO49/AO48</f>
        <v>97.93428063943162</v>
      </c>
    </row>
    <row r="49" spans="2:45" ht="15.6" x14ac:dyDescent="0.3">
      <c r="C49" s="32"/>
      <c r="D49" s="32"/>
      <c r="E49" s="36"/>
      <c r="F49" s="11"/>
      <c r="G49" s="32"/>
      <c r="H49" s="32"/>
      <c r="I49" s="32"/>
      <c r="J49" s="32"/>
      <c r="K49" s="32"/>
      <c r="L49" s="32"/>
      <c r="M49" s="36"/>
      <c r="N49" s="11"/>
      <c r="O49" s="32"/>
      <c r="P49" s="32"/>
      <c r="Q49" s="32"/>
      <c r="R49" s="32"/>
      <c r="S49" s="32"/>
      <c r="T49" s="32"/>
      <c r="U49" s="36"/>
      <c r="V49" s="11"/>
      <c r="W49" s="32"/>
      <c r="X49" s="32"/>
      <c r="Y49" s="32"/>
      <c r="Z49" s="32"/>
      <c r="AA49" s="32"/>
      <c r="AB49" s="32"/>
      <c r="AC49" s="36"/>
      <c r="AD49" s="11"/>
      <c r="AE49" s="32"/>
      <c r="AF49" s="32"/>
      <c r="AG49" s="32"/>
      <c r="AH49" s="32"/>
      <c r="AI49" s="32"/>
      <c r="AJ49" s="32"/>
      <c r="AK49" s="36"/>
      <c r="AL49" s="11"/>
      <c r="AN49" s="35" t="s">
        <v>3</v>
      </c>
      <c r="AO49" s="34">
        <f>F51+V51+N51+AD51+AL51</f>
        <v>110274</v>
      </c>
    </row>
    <row r="50" spans="2:45" ht="15.6" x14ac:dyDescent="0.3">
      <c r="B50" s="29" t="s">
        <v>13</v>
      </c>
      <c r="C50" s="32"/>
      <c r="D50" s="32"/>
      <c r="E50" s="4">
        <f>E48+E19</f>
        <v>716</v>
      </c>
      <c r="F50" s="28">
        <f>F48+F19</f>
        <v>47980</v>
      </c>
      <c r="G50" s="32"/>
      <c r="H50" s="32"/>
      <c r="I50" s="32"/>
      <c r="J50" s="32"/>
      <c r="K50" s="32"/>
      <c r="L50" s="32"/>
      <c r="M50" s="4">
        <f>M48+M19</f>
        <v>1845</v>
      </c>
      <c r="N50" s="28">
        <f>N48+N19</f>
        <v>131753</v>
      </c>
      <c r="O50" s="32"/>
      <c r="P50" s="32"/>
      <c r="Q50" s="32"/>
      <c r="R50" s="32"/>
      <c r="S50" s="32"/>
      <c r="T50" s="32"/>
      <c r="U50" s="4">
        <f>U48+U19</f>
        <v>1868</v>
      </c>
      <c r="V50" s="28">
        <f>V48+V19</f>
        <v>132303</v>
      </c>
      <c r="W50" s="64"/>
      <c r="X50" s="32"/>
      <c r="Y50" s="32"/>
      <c r="Z50" s="32"/>
      <c r="AA50" s="32"/>
      <c r="AB50" s="32"/>
      <c r="AC50" s="4">
        <f>AC48+AC19</f>
        <v>1644</v>
      </c>
      <c r="AD50" s="28">
        <f>AD48+AD19</f>
        <v>117354</v>
      </c>
      <c r="AE50" s="11">
        <f>AD50/AC50</f>
        <v>71.383211678832112</v>
      </c>
      <c r="AF50" s="32"/>
      <c r="AG50" s="32"/>
      <c r="AI50" s="32"/>
      <c r="AJ50" s="11">
        <f>AL50/AK50</f>
        <v>71.3125</v>
      </c>
      <c r="AK50" s="4">
        <f>AK48+AK19</f>
        <v>960</v>
      </c>
      <c r="AL50" s="28">
        <f>AL48+AL19</f>
        <v>68460</v>
      </c>
    </row>
    <row r="51" spans="2:45" ht="15.6" x14ac:dyDescent="0.3">
      <c r="B51" s="29" t="s">
        <v>15</v>
      </c>
      <c r="C51" s="32"/>
      <c r="D51" s="32"/>
      <c r="E51" s="4">
        <f>SUM(E44:E46)</f>
        <v>147</v>
      </c>
      <c r="F51" s="28">
        <f>SUM(F44:F46)</f>
        <v>14627</v>
      </c>
      <c r="G51" s="32"/>
      <c r="H51" s="32"/>
      <c r="I51" s="32"/>
      <c r="J51" s="32"/>
      <c r="K51" s="32"/>
      <c r="L51" s="32"/>
      <c r="M51" s="4">
        <f>SUM(M44:M46)</f>
        <v>221</v>
      </c>
      <c r="N51" s="28">
        <f>SUM(N44:N46)</f>
        <v>21890</v>
      </c>
      <c r="O51" s="32"/>
      <c r="P51" s="32"/>
      <c r="Q51" s="32"/>
      <c r="R51" s="32"/>
      <c r="S51" s="32"/>
      <c r="T51" s="32"/>
      <c r="U51" s="4">
        <f>SUM(U44:U46)</f>
        <v>253</v>
      </c>
      <c r="V51" s="28">
        <f>SUM(V44:V46)</f>
        <v>25147</v>
      </c>
      <c r="W51" s="64"/>
      <c r="X51" s="32"/>
      <c r="Y51" s="32"/>
      <c r="Z51" s="32"/>
      <c r="AA51" s="32"/>
      <c r="AB51" s="32"/>
      <c r="AC51" s="4">
        <f>SUM(AC44:AC46)</f>
        <v>203</v>
      </c>
      <c r="AD51" s="28">
        <f>SUM(AD44:AD46)</f>
        <v>19488</v>
      </c>
      <c r="AE51" s="32"/>
      <c r="AF51" s="32"/>
      <c r="AG51" s="32"/>
      <c r="AH51" s="32"/>
      <c r="AI51" s="32"/>
      <c r="AJ51" s="32"/>
      <c r="AK51" s="4">
        <f>SUM(AK44:AK46)</f>
        <v>302</v>
      </c>
      <c r="AL51" s="28">
        <f>SUM(AL44:AL46)</f>
        <v>29122</v>
      </c>
      <c r="AN51" s="27" t="s">
        <v>14</v>
      </c>
      <c r="AO51" s="31">
        <f>E52+U52+M52+AC52+AK52</f>
        <v>886</v>
      </c>
      <c r="AP51" s="30">
        <f>AO52/AO51</f>
        <v>52.790067720090292</v>
      </c>
    </row>
    <row r="52" spans="2:45" ht="15.6" x14ac:dyDescent="0.3">
      <c r="B52" s="29" t="s">
        <v>14</v>
      </c>
      <c r="E52" s="4">
        <f>E47</f>
        <v>59</v>
      </c>
      <c r="F52" s="28">
        <f>F47</f>
        <v>2950</v>
      </c>
      <c r="M52" s="4">
        <f>M47</f>
        <v>209</v>
      </c>
      <c r="N52" s="28">
        <f>N47</f>
        <v>10450</v>
      </c>
      <c r="U52" s="4">
        <f>U47</f>
        <v>196</v>
      </c>
      <c r="V52" s="28">
        <f>V47</f>
        <v>10584</v>
      </c>
      <c r="W52" s="64"/>
      <c r="AC52" s="4">
        <f>AC47</f>
        <v>158</v>
      </c>
      <c r="AD52" s="28">
        <f>AD47</f>
        <v>8532</v>
      </c>
      <c r="AK52" s="4">
        <f>AK47</f>
        <v>264</v>
      </c>
      <c r="AL52" s="28">
        <f>AL47</f>
        <v>14256</v>
      </c>
      <c r="AN52" s="27" t="s">
        <v>3</v>
      </c>
      <c r="AO52" s="26">
        <f>V52+N52+F52+AD52+AL52</f>
        <v>46772</v>
      </c>
    </row>
    <row r="53" spans="2:45" x14ac:dyDescent="0.3">
      <c r="V53">
        <f>SUM(T53:U53)</f>
        <v>0</v>
      </c>
      <c r="W53">
        <f>V53*50</f>
        <v>0</v>
      </c>
    </row>
    <row r="55" spans="2:45" s="22" customFormat="1" ht="13.8" customHeight="1" x14ac:dyDescent="0.3">
      <c r="B55" s="25" t="s">
        <v>13</v>
      </c>
      <c r="C55" s="24">
        <v>45779</v>
      </c>
      <c r="D55" s="24">
        <v>45780</v>
      </c>
      <c r="E55" s="23" t="s">
        <v>12</v>
      </c>
      <c r="F55" s="23" t="s">
        <v>11</v>
      </c>
      <c r="G55" s="24">
        <v>45782</v>
      </c>
      <c r="H55" s="24">
        <v>45783</v>
      </c>
      <c r="I55" s="24">
        <v>45784</v>
      </c>
      <c r="J55" s="24">
        <v>45785</v>
      </c>
      <c r="K55" s="24">
        <v>45786</v>
      </c>
      <c r="L55" s="24">
        <v>45787</v>
      </c>
      <c r="M55" s="23" t="s">
        <v>12</v>
      </c>
      <c r="N55" s="23" t="s">
        <v>11</v>
      </c>
      <c r="O55" s="24">
        <v>45789</v>
      </c>
      <c r="P55" s="24">
        <v>45790</v>
      </c>
      <c r="Q55" s="24">
        <v>45791</v>
      </c>
      <c r="R55" s="24">
        <v>45792</v>
      </c>
      <c r="S55" s="24">
        <v>45793</v>
      </c>
      <c r="T55" s="24">
        <v>45794</v>
      </c>
      <c r="U55" s="23" t="s">
        <v>12</v>
      </c>
      <c r="V55" s="23" t="s">
        <v>11</v>
      </c>
      <c r="W55" s="24">
        <v>45796</v>
      </c>
      <c r="X55" s="24">
        <v>45797</v>
      </c>
      <c r="Y55" s="24">
        <v>45798</v>
      </c>
      <c r="Z55" s="24">
        <v>45799</v>
      </c>
      <c r="AA55" s="24">
        <v>45800</v>
      </c>
      <c r="AB55" s="24">
        <v>45801</v>
      </c>
      <c r="AC55" s="23" t="s">
        <v>12</v>
      </c>
      <c r="AD55" s="23" t="s">
        <v>11</v>
      </c>
      <c r="AE55" s="24">
        <v>45803</v>
      </c>
      <c r="AF55" s="24">
        <v>45804</v>
      </c>
      <c r="AG55" s="24">
        <v>45805</v>
      </c>
      <c r="AH55" s="24">
        <v>45806</v>
      </c>
      <c r="AI55" s="24">
        <v>45807</v>
      </c>
      <c r="AJ55" s="24">
        <v>45808</v>
      </c>
      <c r="AK55" s="23" t="s">
        <v>12</v>
      </c>
      <c r="AL55" s="23" t="s">
        <v>11</v>
      </c>
    </row>
    <row r="56" spans="2:45" ht="15" customHeight="1" x14ac:dyDescent="0.3">
      <c r="B56" s="17" t="s">
        <v>10</v>
      </c>
      <c r="C56" s="16">
        <v>115</v>
      </c>
      <c r="D56" s="16">
        <v>210</v>
      </c>
      <c r="E56" s="15">
        <f t="shared" ref="E56:E61" si="10">SUM(C56:D56)</f>
        <v>325</v>
      </c>
      <c r="F56" s="14">
        <f>E56*101</f>
        <v>32825</v>
      </c>
      <c r="G56" s="16">
        <v>62</v>
      </c>
      <c r="H56" s="16">
        <v>312</v>
      </c>
      <c r="I56" s="16">
        <v>86</v>
      </c>
      <c r="J56" s="16">
        <v>70</v>
      </c>
      <c r="K56" s="16">
        <v>85</v>
      </c>
      <c r="L56" s="16">
        <v>210</v>
      </c>
      <c r="M56" s="15">
        <f t="shared" ref="M56:M61" si="11">SUM(G56:L56)</f>
        <v>825</v>
      </c>
      <c r="N56" s="14">
        <f>M56*100</f>
        <v>82500</v>
      </c>
      <c r="O56" s="16">
        <v>52</v>
      </c>
      <c r="P56" s="16">
        <v>130</v>
      </c>
      <c r="Q56" s="16">
        <v>240</v>
      </c>
      <c r="R56" s="16">
        <v>227</v>
      </c>
      <c r="S56" s="16">
        <v>230</v>
      </c>
      <c r="T56" s="16">
        <v>305</v>
      </c>
      <c r="U56" s="15">
        <f t="shared" ref="U56:U61" si="12">SUM(O56:T56)</f>
        <v>1184</v>
      </c>
      <c r="V56" s="14">
        <f>U56*101</f>
        <v>119584</v>
      </c>
      <c r="W56" s="16">
        <v>185</v>
      </c>
      <c r="X56" s="16">
        <v>32</v>
      </c>
      <c r="Y56" s="16">
        <v>182</v>
      </c>
      <c r="Z56" s="16">
        <v>135</v>
      </c>
      <c r="AA56" s="16">
        <v>70</v>
      </c>
      <c r="AB56" s="16">
        <v>15</v>
      </c>
      <c r="AC56" s="15">
        <f t="shared" ref="AC56:AC61" si="13">SUM(W56:AB56)</f>
        <v>619</v>
      </c>
      <c r="AD56" s="14">
        <f>AC56*98</f>
        <v>60662</v>
      </c>
      <c r="AE56" s="16">
        <v>297</v>
      </c>
      <c r="AF56" s="16">
        <v>103</v>
      </c>
      <c r="AG56" s="16">
        <v>435</v>
      </c>
      <c r="AH56" s="16">
        <v>165</v>
      </c>
      <c r="AI56" s="16">
        <v>225</v>
      </c>
      <c r="AJ56" s="16"/>
      <c r="AK56" s="15">
        <f t="shared" ref="AK56:AK61" si="14">SUM(AE56:AJ56)</f>
        <v>1225</v>
      </c>
      <c r="AL56" s="14">
        <f>AK56*98</f>
        <v>120050</v>
      </c>
    </row>
    <row r="57" spans="2:45" x14ac:dyDescent="0.3">
      <c r="B57" s="17" t="s">
        <v>9</v>
      </c>
      <c r="C57" s="16">
        <v>108</v>
      </c>
      <c r="D57" s="16">
        <v>175</v>
      </c>
      <c r="E57" s="15">
        <f t="shared" si="10"/>
        <v>283</v>
      </c>
      <c r="F57" s="14">
        <f>E57*99</f>
        <v>28017</v>
      </c>
      <c r="G57" s="16">
        <v>155</v>
      </c>
      <c r="H57" s="16">
        <v>185</v>
      </c>
      <c r="I57" s="16">
        <v>38</v>
      </c>
      <c r="J57" s="16">
        <v>60</v>
      </c>
      <c r="K57" s="16">
        <v>115</v>
      </c>
      <c r="L57" s="16">
        <v>124</v>
      </c>
      <c r="M57" s="15">
        <f t="shared" si="11"/>
        <v>677</v>
      </c>
      <c r="N57" s="14">
        <f>M57*98</f>
        <v>66346</v>
      </c>
      <c r="O57" s="16">
        <v>39</v>
      </c>
      <c r="P57" s="16">
        <v>115</v>
      </c>
      <c r="Q57" s="16">
        <v>210</v>
      </c>
      <c r="R57" s="16">
        <v>142</v>
      </c>
      <c r="S57" s="16">
        <v>331</v>
      </c>
      <c r="T57" s="16">
        <v>190</v>
      </c>
      <c r="U57" s="15">
        <f t="shared" si="12"/>
        <v>1027</v>
      </c>
      <c r="V57" s="14">
        <f>U57*99</f>
        <v>101673</v>
      </c>
      <c r="W57" s="16">
        <v>172</v>
      </c>
      <c r="X57" s="16">
        <v>47</v>
      </c>
      <c r="Y57" s="16">
        <v>180</v>
      </c>
      <c r="Z57" s="16">
        <v>156</v>
      </c>
      <c r="AA57" s="16">
        <v>80</v>
      </c>
      <c r="AB57" s="16">
        <v>15</v>
      </c>
      <c r="AC57" s="15">
        <f t="shared" si="13"/>
        <v>650</v>
      </c>
      <c r="AD57" s="14">
        <f>AC57*96</f>
        <v>62400</v>
      </c>
      <c r="AE57" s="16">
        <v>346</v>
      </c>
      <c r="AF57" s="16">
        <v>77</v>
      </c>
      <c r="AG57" s="16">
        <v>390</v>
      </c>
      <c r="AH57" s="16">
        <v>320</v>
      </c>
      <c r="AI57" s="16">
        <v>265</v>
      </c>
      <c r="AJ57" s="16"/>
      <c r="AK57" s="15">
        <f t="shared" si="14"/>
        <v>1398</v>
      </c>
      <c r="AL57" s="14">
        <f>AK57*96</f>
        <v>134208</v>
      </c>
    </row>
    <row r="58" spans="2:45" ht="15.6" x14ac:dyDescent="0.3">
      <c r="B58" s="17" t="s">
        <v>8</v>
      </c>
      <c r="C58" s="16">
        <v>14</v>
      </c>
      <c r="D58" s="16">
        <v>30</v>
      </c>
      <c r="E58" s="15">
        <f t="shared" si="10"/>
        <v>44</v>
      </c>
      <c r="F58" s="14">
        <f>E58*101</f>
        <v>4444</v>
      </c>
      <c r="G58" s="16">
        <v>3</v>
      </c>
      <c r="H58" s="16">
        <v>87</v>
      </c>
      <c r="I58" s="16">
        <v>21</v>
      </c>
      <c r="J58" s="16">
        <v>25</v>
      </c>
      <c r="K58" s="16">
        <v>40</v>
      </c>
      <c r="L58" s="16">
        <v>35</v>
      </c>
      <c r="M58" s="15">
        <f t="shared" si="11"/>
        <v>211</v>
      </c>
      <c r="N58" s="14">
        <f>M58*100</f>
        <v>21100</v>
      </c>
      <c r="O58" s="16">
        <v>6</v>
      </c>
      <c r="P58" s="16" t="s">
        <v>65</v>
      </c>
      <c r="Q58" s="16">
        <v>65</v>
      </c>
      <c r="R58" s="16">
        <v>54</v>
      </c>
      <c r="S58" s="16">
        <v>52</v>
      </c>
      <c r="T58" s="16">
        <v>36</v>
      </c>
      <c r="U58" s="15">
        <f t="shared" si="12"/>
        <v>213</v>
      </c>
      <c r="V58" s="14">
        <f>U58*101</f>
        <v>21513</v>
      </c>
      <c r="W58" s="16">
        <v>42</v>
      </c>
      <c r="X58" s="16">
        <v>8</v>
      </c>
      <c r="Y58" s="16">
        <v>30</v>
      </c>
      <c r="Z58" s="16">
        <v>38</v>
      </c>
      <c r="AA58" s="16">
        <v>10</v>
      </c>
      <c r="AB58" s="16" t="s">
        <v>65</v>
      </c>
      <c r="AC58" s="15">
        <f t="shared" si="13"/>
        <v>128</v>
      </c>
      <c r="AD58" s="14">
        <f>AC58*98</f>
        <v>12544</v>
      </c>
      <c r="AE58" s="16">
        <v>41</v>
      </c>
      <c r="AF58" s="16">
        <v>5</v>
      </c>
      <c r="AG58" s="16">
        <v>55</v>
      </c>
      <c r="AH58" s="16">
        <v>15</v>
      </c>
      <c r="AI58" s="16">
        <v>35</v>
      </c>
      <c r="AJ58" s="16"/>
      <c r="AK58" s="15">
        <f t="shared" si="14"/>
        <v>151</v>
      </c>
      <c r="AL58" s="14">
        <f>AK58*98</f>
        <v>14798</v>
      </c>
      <c r="AN58" s="19" t="s">
        <v>7</v>
      </c>
      <c r="AO58" s="21">
        <f>E64+M64+U64+AC64+AK64</f>
        <v>8960</v>
      </c>
      <c r="AP58" s="11">
        <f>AO59/AO58</f>
        <v>98.511607142857144</v>
      </c>
      <c r="AS58">
        <f>ABRIL!AO58-MAYO!AO58</f>
        <v>1469</v>
      </c>
    </row>
    <row r="59" spans="2:45" ht="15.6" x14ac:dyDescent="0.3">
      <c r="B59" s="17" t="s">
        <v>6</v>
      </c>
      <c r="C59" s="16">
        <v>2</v>
      </c>
      <c r="D59" s="16" t="s">
        <v>65</v>
      </c>
      <c r="E59" s="15">
        <f t="shared" si="10"/>
        <v>2</v>
      </c>
      <c r="F59" s="14">
        <f>E59*84</f>
        <v>168</v>
      </c>
      <c r="G59" s="16">
        <v>11</v>
      </c>
      <c r="H59" s="16">
        <v>7</v>
      </c>
      <c r="I59" s="16"/>
      <c r="J59" s="16">
        <v>5</v>
      </c>
      <c r="K59" s="16" t="s">
        <v>65</v>
      </c>
      <c r="L59" s="16"/>
      <c r="M59" s="15">
        <f t="shared" si="11"/>
        <v>23</v>
      </c>
      <c r="N59" s="14">
        <f>M59*83</f>
        <v>1909</v>
      </c>
      <c r="O59" s="16">
        <v>1</v>
      </c>
      <c r="P59" s="16" t="s">
        <v>65</v>
      </c>
      <c r="Q59" s="16">
        <v>4</v>
      </c>
      <c r="R59" s="16"/>
      <c r="S59" s="16">
        <v>5</v>
      </c>
      <c r="T59" s="16">
        <v>8</v>
      </c>
      <c r="U59" s="15">
        <f t="shared" si="12"/>
        <v>18</v>
      </c>
      <c r="V59" s="14">
        <f>U59*84</f>
        <v>1512</v>
      </c>
      <c r="W59" s="16">
        <v>2</v>
      </c>
      <c r="X59" s="16">
        <v>1</v>
      </c>
      <c r="Y59" s="16">
        <v>4</v>
      </c>
      <c r="Z59" s="16">
        <v>4</v>
      </c>
      <c r="AA59" s="16"/>
      <c r="AB59" s="16" t="s">
        <v>65</v>
      </c>
      <c r="AC59" s="15">
        <f t="shared" si="13"/>
        <v>11</v>
      </c>
      <c r="AD59" s="14">
        <f>AC59*82</f>
        <v>902</v>
      </c>
      <c r="AE59" s="16">
        <v>1</v>
      </c>
      <c r="AF59" s="16">
        <v>1</v>
      </c>
      <c r="AG59" s="16">
        <v>5</v>
      </c>
      <c r="AH59" s="16">
        <v>20</v>
      </c>
      <c r="AI59" s="16">
        <v>3</v>
      </c>
      <c r="AJ59" s="16"/>
      <c r="AK59" s="15">
        <f t="shared" si="14"/>
        <v>30</v>
      </c>
      <c r="AL59" s="14">
        <f>AK59*82</f>
        <v>2460</v>
      </c>
      <c r="AN59" s="19" t="s">
        <v>3</v>
      </c>
      <c r="AO59" s="18">
        <f>F64+N64+V64+AD64+AL64</f>
        <v>882664</v>
      </c>
    </row>
    <row r="60" spans="2:45" x14ac:dyDescent="0.3">
      <c r="B60" s="17" t="s">
        <v>4</v>
      </c>
      <c r="C60" s="16">
        <v>62</v>
      </c>
      <c r="D60" s="16">
        <v>20</v>
      </c>
      <c r="E60" s="15">
        <f t="shared" si="10"/>
        <v>82</v>
      </c>
      <c r="F60" s="14">
        <f>E60*100</f>
        <v>8200</v>
      </c>
      <c r="G60" s="16">
        <v>84</v>
      </c>
      <c r="H60" s="16">
        <v>77</v>
      </c>
      <c r="I60" s="16">
        <v>45</v>
      </c>
      <c r="J60" s="16"/>
      <c r="K60" s="16">
        <v>85</v>
      </c>
      <c r="L60" s="16"/>
      <c r="M60" s="15">
        <f t="shared" si="11"/>
        <v>291</v>
      </c>
      <c r="N60" s="14">
        <f>M60*100</f>
        <v>29100</v>
      </c>
      <c r="O60" s="16">
        <v>146</v>
      </c>
      <c r="P60" s="16">
        <v>30</v>
      </c>
      <c r="Q60" s="16">
        <v>52</v>
      </c>
      <c r="R60" s="16">
        <v>82</v>
      </c>
      <c r="S60" s="16">
        <v>77</v>
      </c>
      <c r="T60" s="16">
        <v>59</v>
      </c>
      <c r="U60" s="15">
        <f t="shared" si="12"/>
        <v>446</v>
      </c>
      <c r="V60" s="14">
        <f>U60*100</f>
        <v>44600</v>
      </c>
      <c r="W60" s="16">
        <v>41</v>
      </c>
      <c r="X60" s="16">
        <v>26</v>
      </c>
      <c r="Y60" s="16">
        <v>30</v>
      </c>
      <c r="Z60" s="16">
        <v>81</v>
      </c>
      <c r="AA60" s="16"/>
      <c r="AB60" s="16">
        <v>40</v>
      </c>
      <c r="AC60" s="15">
        <f t="shared" si="13"/>
        <v>218</v>
      </c>
      <c r="AD60" s="14">
        <f>AC60*100</f>
        <v>21800</v>
      </c>
      <c r="AE60" s="16">
        <v>40</v>
      </c>
      <c r="AF60" s="16">
        <v>80</v>
      </c>
      <c r="AG60" s="16"/>
      <c r="AH60" s="16">
        <v>60</v>
      </c>
      <c r="AI60" s="16">
        <v>158</v>
      </c>
      <c r="AJ60" s="16"/>
      <c r="AK60" s="15">
        <f t="shared" si="14"/>
        <v>338</v>
      </c>
      <c r="AL60" s="14">
        <f>AK60*100</f>
        <v>33800</v>
      </c>
    </row>
    <row r="61" spans="2:45" ht="15.6" x14ac:dyDescent="0.3">
      <c r="B61" s="17" t="s">
        <v>5</v>
      </c>
      <c r="C61" s="16"/>
      <c r="D61" s="16"/>
      <c r="E61" s="15">
        <f t="shared" si="10"/>
        <v>0</v>
      </c>
      <c r="F61" s="14">
        <f>E61*115</f>
        <v>0</v>
      </c>
      <c r="G61" s="16">
        <v>1</v>
      </c>
      <c r="H61" s="16"/>
      <c r="I61" s="16"/>
      <c r="J61" s="16"/>
      <c r="K61" s="16">
        <v>5</v>
      </c>
      <c r="L61" s="16"/>
      <c r="M61" s="15">
        <f t="shared" si="11"/>
        <v>6</v>
      </c>
      <c r="N61" s="14">
        <f>M61*115</f>
        <v>690</v>
      </c>
      <c r="O61" s="16"/>
      <c r="P61" s="16"/>
      <c r="Q61" s="16"/>
      <c r="R61" s="16"/>
      <c r="S61" s="16"/>
      <c r="T61" s="16">
        <v>1</v>
      </c>
      <c r="U61" s="15">
        <f t="shared" si="12"/>
        <v>1</v>
      </c>
      <c r="V61" s="14">
        <f>U61*115</f>
        <v>115</v>
      </c>
      <c r="W61" s="16"/>
      <c r="X61" s="16" t="s">
        <v>66</v>
      </c>
      <c r="Y61" s="16"/>
      <c r="Z61" s="16"/>
      <c r="AA61" s="16"/>
      <c r="AB61" s="16"/>
      <c r="AC61" s="15">
        <f t="shared" si="13"/>
        <v>0</v>
      </c>
      <c r="AD61" s="14">
        <f>AC61*115</f>
        <v>0</v>
      </c>
      <c r="AE61" s="16"/>
      <c r="AF61" s="16"/>
      <c r="AG61" s="16"/>
      <c r="AH61" s="16"/>
      <c r="AI61" s="16">
        <v>1</v>
      </c>
      <c r="AJ61" s="16"/>
      <c r="AK61" s="15">
        <f t="shared" si="14"/>
        <v>1</v>
      </c>
      <c r="AL61" s="14">
        <f>AK61*115</f>
        <v>115</v>
      </c>
      <c r="AN61" s="13" t="s">
        <v>4</v>
      </c>
      <c r="AO61" s="12">
        <f>E60+M60+U60+AC60+AK60</f>
        <v>1375</v>
      </c>
      <c r="AP61" s="11">
        <f>AO62/AO61</f>
        <v>100</v>
      </c>
    </row>
    <row r="62" spans="2:45" ht="15.6" x14ac:dyDescent="0.3">
      <c r="C62" s="10"/>
      <c r="D62" s="10"/>
      <c r="E62" s="9">
        <f>SUM(E56:E61)</f>
        <v>736</v>
      </c>
      <c r="F62" s="8">
        <f>SUM(F56:F61)</f>
        <v>73654</v>
      </c>
      <c r="G62" s="10"/>
      <c r="H62" s="10"/>
      <c r="I62" s="10"/>
      <c r="J62" s="10"/>
      <c r="K62" s="10"/>
      <c r="L62" s="10"/>
      <c r="M62" s="9">
        <f>SUM(M56:M61)</f>
        <v>2033</v>
      </c>
      <c r="N62" s="8">
        <f>SUM(N56:N61)</f>
        <v>201645</v>
      </c>
      <c r="O62" s="10"/>
      <c r="P62" s="10"/>
      <c r="Q62" s="10"/>
      <c r="R62" s="10"/>
      <c r="S62" s="10"/>
      <c r="T62" s="10"/>
      <c r="U62" s="9">
        <f>SUM(U56:U61)</f>
        <v>2889</v>
      </c>
      <c r="V62" s="8">
        <f>SUM(V56:V61)</f>
        <v>288997</v>
      </c>
      <c r="W62" s="10"/>
      <c r="X62" s="10"/>
      <c r="Y62" s="10"/>
      <c r="Z62" s="10"/>
      <c r="AA62" s="10"/>
      <c r="AB62" s="10"/>
      <c r="AC62" s="9">
        <f>SUM(AC56:AC61)</f>
        <v>1626</v>
      </c>
      <c r="AD62" s="8">
        <f>SUM(AD56:AD61)</f>
        <v>158308</v>
      </c>
      <c r="AE62" s="10"/>
      <c r="AF62" s="10"/>
      <c r="AG62" s="10"/>
      <c r="AH62" s="10"/>
      <c r="AI62" s="10"/>
      <c r="AJ62" s="10"/>
      <c r="AK62" s="9">
        <f>SUM(AK56:AK61)</f>
        <v>3143</v>
      </c>
      <c r="AL62" s="8">
        <f>SUM(AL56:AL61)</f>
        <v>305431</v>
      </c>
      <c r="AN62" s="7" t="s">
        <v>3</v>
      </c>
      <c r="AO62" s="6">
        <f>AL60+F60+N60+V60+AD60</f>
        <v>137500</v>
      </c>
    </row>
    <row r="64" spans="2:45" ht="15.6" x14ac:dyDescent="0.3">
      <c r="E64" s="4">
        <f>E56+E57+E58</f>
        <v>652</v>
      </c>
      <c r="F64" s="3">
        <f>F56+F57+F58</f>
        <v>65286</v>
      </c>
      <c r="M64" s="4">
        <f>M56+M57+M58</f>
        <v>1713</v>
      </c>
      <c r="N64" s="3">
        <f>N56+N57+N58</f>
        <v>169946</v>
      </c>
      <c r="U64" s="4">
        <f>U56+U57+U58</f>
        <v>2424</v>
      </c>
      <c r="V64" s="3">
        <f>V56+V57+V58</f>
        <v>242770</v>
      </c>
      <c r="AC64" s="4">
        <f>AC56+AC57+AC58</f>
        <v>1397</v>
      </c>
      <c r="AD64" s="3">
        <f>AD56+AD57+AD58</f>
        <v>135606</v>
      </c>
      <c r="AK64" s="4">
        <f>AK56+AK57+AK58</f>
        <v>2774</v>
      </c>
      <c r="AL64" s="3">
        <f>AL56+AL57+AL58</f>
        <v>269056</v>
      </c>
    </row>
    <row r="66" spans="40:41" x14ac:dyDescent="0.3">
      <c r="AN66" s="2" t="s">
        <v>1</v>
      </c>
      <c r="AO66" s="1">
        <f>AO62+AO59+AO20</f>
        <v>1518014</v>
      </c>
    </row>
    <row r="1964" spans="6:6" x14ac:dyDescent="0.3">
      <c r="F1964" t="s">
        <v>0</v>
      </c>
    </row>
  </sheetData>
  <mergeCells count="2">
    <mergeCell ref="AS3:AT3"/>
    <mergeCell ref="AN24:AO24"/>
  </mergeCells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F73A-7AF8-46BB-8085-1B0C4BC79A6C}">
  <dimension ref="B3:AQ66"/>
  <sheetViews>
    <sheetView zoomScale="99" zoomScaleNormal="99" workbookViewId="0">
      <pane xSplit="2" ySplit="3" topLeftCell="AE10" activePane="bottomRight" state="frozen"/>
      <selection pane="topRight" activeCell="C1" sqref="C1"/>
      <selection pane="bottomLeft" activeCell="A4" sqref="A4"/>
      <selection pane="bottomRight" activeCell="AQ15" sqref="AQ15"/>
    </sheetView>
  </sheetViews>
  <sheetFormatPr baseColWidth="10" defaultRowHeight="14.4" x14ac:dyDescent="0.3"/>
  <cols>
    <col min="1" max="1" width="5.6640625" customWidth="1"/>
    <col min="2" max="2" width="18.33203125" customWidth="1"/>
    <col min="9" max="9" width="13.33203125" customWidth="1"/>
    <col min="10" max="10" width="16.109375" customWidth="1"/>
    <col min="17" max="17" width="13.33203125" customWidth="1"/>
    <col min="18" max="18" width="16.109375" customWidth="1"/>
    <col min="25" max="25" width="13.33203125" customWidth="1"/>
    <col min="26" max="26" width="16.109375" customWidth="1"/>
    <col min="34" max="34" width="13.33203125" customWidth="1"/>
    <col min="35" max="35" width="20.21875" customWidth="1"/>
    <col min="36" max="36" width="6.5546875" customWidth="1"/>
    <col min="37" max="37" width="15.33203125" customWidth="1"/>
    <col min="38" max="38" width="19.109375" customWidth="1"/>
    <col min="39" max="39" width="13.88671875" customWidth="1"/>
    <col min="41" max="41" width="9.77734375" customWidth="1"/>
    <col min="42" max="42" width="17.109375" customWidth="1"/>
    <col min="43" max="43" width="16.77734375" customWidth="1"/>
  </cols>
  <sheetData>
    <row r="3" spans="2:43" s="22" customFormat="1" ht="13.8" customHeight="1" x14ac:dyDescent="0.3">
      <c r="B3" s="25" t="s">
        <v>13</v>
      </c>
      <c r="C3" s="24">
        <v>45810</v>
      </c>
      <c r="D3" s="24">
        <v>45811</v>
      </c>
      <c r="E3" s="24">
        <v>45812</v>
      </c>
      <c r="F3" s="24">
        <v>45813</v>
      </c>
      <c r="G3" s="24">
        <v>45814</v>
      </c>
      <c r="H3" s="24">
        <v>45815</v>
      </c>
      <c r="I3" s="23" t="s">
        <v>63</v>
      </c>
      <c r="J3" s="23" t="s">
        <v>11</v>
      </c>
      <c r="K3" s="24">
        <v>45817</v>
      </c>
      <c r="L3" s="24">
        <v>45818</v>
      </c>
      <c r="M3" s="24">
        <v>45819</v>
      </c>
      <c r="N3" s="24">
        <v>45820</v>
      </c>
      <c r="O3" s="24">
        <v>45821</v>
      </c>
      <c r="P3" s="24">
        <v>45822</v>
      </c>
      <c r="Q3" s="23" t="s">
        <v>63</v>
      </c>
      <c r="R3" s="23" t="s">
        <v>11</v>
      </c>
      <c r="S3" s="24">
        <v>45824</v>
      </c>
      <c r="T3" s="24">
        <v>45825</v>
      </c>
      <c r="U3" s="24">
        <v>45826</v>
      </c>
      <c r="V3" s="24">
        <v>45827</v>
      </c>
      <c r="W3" s="24">
        <v>45828</v>
      </c>
      <c r="X3" s="24">
        <v>45829</v>
      </c>
      <c r="Y3" s="23" t="s">
        <v>63</v>
      </c>
      <c r="Z3" s="23" t="s">
        <v>11</v>
      </c>
      <c r="AA3" s="24">
        <v>45831</v>
      </c>
      <c r="AB3" s="24">
        <v>45832</v>
      </c>
      <c r="AC3" s="24">
        <v>45833</v>
      </c>
      <c r="AD3" s="24">
        <v>45834</v>
      </c>
      <c r="AE3" s="24">
        <v>45835</v>
      </c>
      <c r="AF3" s="24">
        <v>45836</v>
      </c>
      <c r="AG3" s="24">
        <v>45838</v>
      </c>
      <c r="AH3" s="23" t="s">
        <v>63</v>
      </c>
      <c r="AI3" s="23" t="s">
        <v>11</v>
      </c>
      <c r="AP3" s="68" t="s">
        <v>73</v>
      </c>
      <c r="AQ3" s="69"/>
    </row>
    <row r="4" spans="2:43" ht="15.6" customHeight="1" x14ac:dyDescent="0.3">
      <c r="B4" s="17" t="s">
        <v>62</v>
      </c>
      <c r="C4" s="16">
        <v>38</v>
      </c>
      <c r="D4" s="16">
        <v>72</v>
      </c>
      <c r="E4" s="16">
        <v>45</v>
      </c>
      <c r="F4" s="16">
        <v>120</v>
      </c>
      <c r="G4" s="16">
        <v>65</v>
      </c>
      <c r="H4" s="16"/>
      <c r="I4" s="15">
        <f>SUM(C4:H4)</f>
        <v>340</v>
      </c>
      <c r="J4" s="14">
        <f>I4*60</f>
        <v>20400</v>
      </c>
      <c r="K4" s="16">
        <v>10</v>
      </c>
      <c r="L4" s="16">
        <v>66</v>
      </c>
      <c r="M4" s="16">
        <v>20</v>
      </c>
      <c r="N4" s="16">
        <v>70</v>
      </c>
      <c r="O4" s="16">
        <v>85</v>
      </c>
      <c r="P4" s="16">
        <v>25</v>
      </c>
      <c r="Q4" s="15">
        <f>SUM(K4:P4)</f>
        <v>276</v>
      </c>
      <c r="R4" s="14">
        <f>Q4*60</f>
        <v>16560</v>
      </c>
      <c r="S4" s="16">
        <v>12</v>
      </c>
      <c r="T4" s="16">
        <v>16</v>
      </c>
      <c r="U4" s="16">
        <v>77</v>
      </c>
      <c r="V4" s="16">
        <v>40</v>
      </c>
      <c r="W4" s="16">
        <v>40</v>
      </c>
      <c r="X4" s="16">
        <v>76</v>
      </c>
      <c r="Y4" s="15">
        <f>SUM(S4:X4)</f>
        <v>261</v>
      </c>
      <c r="Z4" s="14">
        <f>Y4*60</f>
        <v>15660</v>
      </c>
      <c r="AA4" s="16">
        <v>1</v>
      </c>
      <c r="AB4" s="16">
        <v>34</v>
      </c>
      <c r="AC4" s="16">
        <v>6</v>
      </c>
      <c r="AD4" s="16">
        <v>90</v>
      </c>
      <c r="AE4" s="16">
        <v>25</v>
      </c>
      <c r="AF4" s="16"/>
      <c r="AG4" s="16">
        <v>96</v>
      </c>
      <c r="AH4" s="15">
        <f>SUM(AA4:AG4)</f>
        <v>252</v>
      </c>
      <c r="AI4" s="14">
        <f>AH4*60</f>
        <v>15120</v>
      </c>
      <c r="AP4" s="60" t="s">
        <v>48</v>
      </c>
      <c r="AQ4" s="48">
        <f>AL19</f>
        <v>6737</v>
      </c>
    </row>
    <row r="5" spans="2:43" ht="15.6" x14ac:dyDescent="0.3">
      <c r="B5" s="17" t="s">
        <v>61</v>
      </c>
      <c r="C5" s="16">
        <v>11</v>
      </c>
      <c r="D5" s="16">
        <v>30</v>
      </c>
      <c r="E5" s="16">
        <v>44</v>
      </c>
      <c r="F5" s="16">
        <v>61</v>
      </c>
      <c r="G5" s="16">
        <v>45</v>
      </c>
      <c r="H5" s="16"/>
      <c r="I5" s="15">
        <f t="shared" ref="I5:I18" si="0">SUM(C5:H5)</f>
        <v>191</v>
      </c>
      <c r="J5" s="14">
        <f>I5*60</f>
        <v>11460</v>
      </c>
      <c r="K5" s="16">
        <v>170</v>
      </c>
      <c r="L5" s="16">
        <v>43</v>
      </c>
      <c r="M5" s="16">
        <v>13</v>
      </c>
      <c r="N5" s="16">
        <v>89</v>
      </c>
      <c r="O5" s="16">
        <v>55</v>
      </c>
      <c r="P5" s="16">
        <v>24</v>
      </c>
      <c r="Q5" s="15">
        <f t="shared" ref="Q5:Q18" si="1">SUM(K5:P5)</f>
        <v>394</v>
      </c>
      <c r="R5" s="14">
        <f>Q5*60</f>
        <v>23640</v>
      </c>
      <c r="S5" s="16">
        <v>17</v>
      </c>
      <c r="T5" s="16">
        <v>24</v>
      </c>
      <c r="U5" s="16">
        <v>61</v>
      </c>
      <c r="V5" s="16">
        <v>10</v>
      </c>
      <c r="W5" s="16">
        <v>35</v>
      </c>
      <c r="X5" s="16">
        <v>70</v>
      </c>
      <c r="Y5" s="15">
        <f t="shared" ref="Y5:Y18" si="2">SUM(S5:X5)</f>
        <v>217</v>
      </c>
      <c r="Z5" s="14">
        <f>Y5*60</f>
        <v>13020</v>
      </c>
      <c r="AA5" s="16">
        <v>50</v>
      </c>
      <c r="AB5" s="16">
        <v>40</v>
      </c>
      <c r="AC5" s="16">
        <v>30</v>
      </c>
      <c r="AD5" s="16">
        <v>55</v>
      </c>
      <c r="AE5" s="16">
        <v>35</v>
      </c>
      <c r="AF5" s="16"/>
      <c r="AG5" s="16">
        <v>6</v>
      </c>
      <c r="AH5" s="15">
        <f t="shared" ref="AH5:AH18" si="3">SUM(AA5:AG5)</f>
        <v>216</v>
      </c>
      <c r="AI5" s="14">
        <f>AH5*60</f>
        <v>12960</v>
      </c>
      <c r="AP5" s="60" t="s">
        <v>3</v>
      </c>
      <c r="AQ5" s="46">
        <f>AL20</f>
        <v>488658</v>
      </c>
    </row>
    <row r="6" spans="2:43" ht="15.6" x14ac:dyDescent="0.3">
      <c r="B6" s="17" t="s">
        <v>60</v>
      </c>
      <c r="C6" s="16">
        <v>1</v>
      </c>
      <c r="D6" s="16">
        <v>5</v>
      </c>
      <c r="E6" s="16">
        <v>10</v>
      </c>
      <c r="F6" s="16">
        <v>12</v>
      </c>
      <c r="G6" s="16">
        <v>10</v>
      </c>
      <c r="H6" s="16"/>
      <c r="I6" s="15">
        <f t="shared" si="0"/>
        <v>38</v>
      </c>
      <c r="J6" s="14">
        <f>I6*61</f>
        <v>2318</v>
      </c>
      <c r="K6" s="16" t="s">
        <v>65</v>
      </c>
      <c r="L6" s="16">
        <v>1</v>
      </c>
      <c r="M6" s="16">
        <v>10</v>
      </c>
      <c r="N6" s="16" t="s">
        <v>65</v>
      </c>
      <c r="O6" s="16">
        <v>11</v>
      </c>
      <c r="P6" s="16">
        <v>4</v>
      </c>
      <c r="Q6" s="15">
        <f t="shared" si="1"/>
        <v>26</v>
      </c>
      <c r="R6" s="14">
        <f>Q6*61</f>
        <v>1586</v>
      </c>
      <c r="S6" s="16">
        <v>5</v>
      </c>
      <c r="T6" s="16">
        <v>1</v>
      </c>
      <c r="U6" s="16">
        <v>4</v>
      </c>
      <c r="V6" s="16">
        <v>5</v>
      </c>
      <c r="W6" s="16">
        <v>5</v>
      </c>
      <c r="X6" s="16" t="s">
        <v>65</v>
      </c>
      <c r="Y6" s="15">
        <f t="shared" si="2"/>
        <v>20</v>
      </c>
      <c r="Z6" s="14">
        <f>Y6*61</f>
        <v>1220</v>
      </c>
      <c r="AA6" s="16" t="s">
        <v>65</v>
      </c>
      <c r="AB6" s="16" t="s">
        <v>65</v>
      </c>
      <c r="AC6" s="16">
        <v>20</v>
      </c>
      <c r="AD6" s="16">
        <v>15</v>
      </c>
      <c r="AE6" s="16">
        <v>1</v>
      </c>
      <c r="AF6" s="16">
        <v>1</v>
      </c>
      <c r="AG6" s="16"/>
      <c r="AH6" s="15">
        <f t="shared" si="3"/>
        <v>37</v>
      </c>
      <c r="AI6" s="14">
        <f>AH6*61</f>
        <v>2257</v>
      </c>
      <c r="AP6" s="59" t="s">
        <v>15</v>
      </c>
      <c r="AQ6" s="37">
        <f>AL48</f>
        <v>968</v>
      </c>
    </row>
    <row r="7" spans="2:43" ht="15.6" x14ac:dyDescent="0.3">
      <c r="B7" s="17" t="s">
        <v>59</v>
      </c>
      <c r="C7" s="16">
        <v>17</v>
      </c>
      <c r="D7" s="16">
        <v>5</v>
      </c>
      <c r="E7" s="16">
        <v>15</v>
      </c>
      <c r="F7" s="16">
        <v>49</v>
      </c>
      <c r="G7" s="16">
        <v>5</v>
      </c>
      <c r="H7" s="16"/>
      <c r="I7" s="15">
        <f t="shared" si="0"/>
        <v>91</v>
      </c>
      <c r="J7" s="14">
        <f>I7*60</f>
        <v>5460</v>
      </c>
      <c r="K7" s="16">
        <v>10</v>
      </c>
      <c r="L7" s="16">
        <v>11</v>
      </c>
      <c r="M7" s="16">
        <v>10</v>
      </c>
      <c r="N7" s="16" t="s">
        <v>65</v>
      </c>
      <c r="O7" s="16">
        <v>41</v>
      </c>
      <c r="P7" s="16">
        <v>5</v>
      </c>
      <c r="Q7" s="15">
        <f t="shared" si="1"/>
        <v>77</v>
      </c>
      <c r="R7" s="14">
        <f>Q7*60</f>
        <v>4620</v>
      </c>
      <c r="S7" s="16">
        <v>11</v>
      </c>
      <c r="T7" s="16">
        <v>5</v>
      </c>
      <c r="U7" s="16" t="s">
        <v>65</v>
      </c>
      <c r="V7" s="16" t="s">
        <v>65</v>
      </c>
      <c r="W7" s="16">
        <v>23</v>
      </c>
      <c r="X7" s="16">
        <v>45</v>
      </c>
      <c r="Y7" s="15">
        <f t="shared" si="2"/>
        <v>84</v>
      </c>
      <c r="Z7" s="14">
        <f>Y7*60</f>
        <v>5040</v>
      </c>
      <c r="AA7" s="16" t="s">
        <v>65</v>
      </c>
      <c r="AB7" s="16">
        <v>17</v>
      </c>
      <c r="AC7" s="16">
        <v>15</v>
      </c>
      <c r="AD7" s="16">
        <v>15</v>
      </c>
      <c r="AE7" s="16"/>
      <c r="AF7" s="16"/>
      <c r="AG7" s="16">
        <v>1</v>
      </c>
      <c r="AH7" s="15">
        <f t="shared" si="3"/>
        <v>48</v>
      </c>
      <c r="AI7" s="14">
        <f>AH7*60</f>
        <v>2880</v>
      </c>
      <c r="AP7" s="59" t="s">
        <v>3</v>
      </c>
      <c r="AQ7" s="34">
        <f>AL49</f>
        <v>90713</v>
      </c>
    </row>
    <row r="8" spans="2:43" ht="15.6" x14ac:dyDescent="0.3">
      <c r="B8" s="17" t="s">
        <v>58</v>
      </c>
      <c r="C8" s="16">
        <v>9</v>
      </c>
      <c r="D8" s="16">
        <v>11</v>
      </c>
      <c r="E8" s="16">
        <v>5</v>
      </c>
      <c r="F8" s="16">
        <v>49</v>
      </c>
      <c r="G8" s="16">
        <v>25</v>
      </c>
      <c r="H8" s="16"/>
      <c r="I8" s="15">
        <f t="shared" si="0"/>
        <v>99</v>
      </c>
      <c r="J8" s="14">
        <f>I8*60</f>
        <v>5940</v>
      </c>
      <c r="K8" s="16">
        <v>15</v>
      </c>
      <c r="L8" s="16">
        <v>4</v>
      </c>
      <c r="M8" s="16" t="s">
        <v>65</v>
      </c>
      <c r="N8" s="16">
        <v>9</v>
      </c>
      <c r="O8" s="16">
        <v>73</v>
      </c>
      <c r="P8" s="16" t="s">
        <v>65</v>
      </c>
      <c r="Q8" s="15">
        <f t="shared" si="1"/>
        <v>101</v>
      </c>
      <c r="R8" s="14">
        <f>Q8*60</f>
        <v>6060</v>
      </c>
      <c r="S8" s="16">
        <v>2</v>
      </c>
      <c r="T8" s="16">
        <v>21</v>
      </c>
      <c r="U8" s="16">
        <v>5</v>
      </c>
      <c r="V8" s="16">
        <v>15</v>
      </c>
      <c r="W8" s="16">
        <v>16</v>
      </c>
      <c r="X8" s="16" t="s">
        <v>65</v>
      </c>
      <c r="Y8" s="15">
        <f t="shared" si="2"/>
        <v>59</v>
      </c>
      <c r="Z8" s="14">
        <f>Y8*60</f>
        <v>3540</v>
      </c>
      <c r="AA8" s="16" t="s">
        <v>65</v>
      </c>
      <c r="AB8" s="16" t="s">
        <v>65</v>
      </c>
      <c r="AC8" s="16">
        <v>20</v>
      </c>
      <c r="AD8" s="16">
        <v>37</v>
      </c>
      <c r="AE8" s="16"/>
      <c r="AF8" s="16"/>
      <c r="AG8" s="16">
        <v>3</v>
      </c>
      <c r="AH8" s="15">
        <f t="shared" si="3"/>
        <v>60</v>
      </c>
      <c r="AI8" s="14">
        <f>AH8*60</f>
        <v>3600</v>
      </c>
      <c r="AP8" s="58" t="s">
        <v>14</v>
      </c>
      <c r="AQ8" s="31">
        <f>AL51</f>
        <v>813</v>
      </c>
    </row>
    <row r="9" spans="2:43" ht="15.6" x14ac:dyDescent="0.3">
      <c r="B9" s="17" t="s">
        <v>57</v>
      </c>
      <c r="C9" s="16">
        <v>7</v>
      </c>
      <c r="D9" s="16">
        <v>60</v>
      </c>
      <c r="E9" s="16">
        <v>11</v>
      </c>
      <c r="F9" s="16">
        <v>25</v>
      </c>
      <c r="G9" s="16">
        <v>13</v>
      </c>
      <c r="H9" s="16"/>
      <c r="I9" s="15">
        <f t="shared" si="0"/>
        <v>116</v>
      </c>
      <c r="J9" s="14">
        <f>I9*60</f>
        <v>6960</v>
      </c>
      <c r="K9" s="16" t="s">
        <v>65</v>
      </c>
      <c r="L9" s="16">
        <v>1</v>
      </c>
      <c r="M9" s="16" t="s">
        <v>65</v>
      </c>
      <c r="N9" s="16">
        <v>21</v>
      </c>
      <c r="O9" s="16" t="s">
        <v>65</v>
      </c>
      <c r="P9" s="16">
        <v>4</v>
      </c>
      <c r="Q9" s="15">
        <f t="shared" si="1"/>
        <v>26</v>
      </c>
      <c r="R9" s="14">
        <f>Q9*60</f>
        <v>1560</v>
      </c>
      <c r="S9" s="16">
        <v>2</v>
      </c>
      <c r="T9" s="16">
        <v>2</v>
      </c>
      <c r="U9" s="16">
        <v>2</v>
      </c>
      <c r="V9" s="16" t="s">
        <v>65</v>
      </c>
      <c r="W9" s="16" t="s">
        <v>65</v>
      </c>
      <c r="X9" s="16">
        <v>17</v>
      </c>
      <c r="Y9" s="15">
        <f t="shared" si="2"/>
        <v>23</v>
      </c>
      <c r="Z9" s="14">
        <f>Y9*60</f>
        <v>1380</v>
      </c>
      <c r="AA9" s="16">
        <v>4</v>
      </c>
      <c r="AB9" s="16">
        <v>15</v>
      </c>
      <c r="AC9" s="16" t="s">
        <v>65</v>
      </c>
      <c r="AD9" s="16">
        <v>47</v>
      </c>
      <c r="AE9" s="16"/>
      <c r="AF9" s="16">
        <v>5</v>
      </c>
      <c r="AG9" s="16">
        <v>13</v>
      </c>
      <c r="AH9" s="15">
        <f t="shared" si="3"/>
        <v>84</v>
      </c>
      <c r="AI9" s="14">
        <f>AH9*60</f>
        <v>5040</v>
      </c>
      <c r="AP9" s="58" t="s">
        <v>3</v>
      </c>
      <c r="AQ9" s="26">
        <f>AL52</f>
        <v>45528</v>
      </c>
    </row>
    <row r="10" spans="2:43" ht="15.6" x14ac:dyDescent="0.3">
      <c r="B10" s="17" t="s">
        <v>56</v>
      </c>
      <c r="C10" s="16">
        <v>3</v>
      </c>
      <c r="D10" s="16">
        <v>10</v>
      </c>
      <c r="E10" s="16">
        <v>8</v>
      </c>
      <c r="F10" s="16">
        <v>13</v>
      </c>
      <c r="G10" s="16">
        <v>10</v>
      </c>
      <c r="H10" s="16">
        <v>2</v>
      </c>
      <c r="I10" s="15">
        <f t="shared" si="0"/>
        <v>46</v>
      </c>
      <c r="J10" s="14">
        <f>I10*60</f>
        <v>2760</v>
      </c>
      <c r="K10" s="16">
        <v>5</v>
      </c>
      <c r="L10" s="16">
        <v>17</v>
      </c>
      <c r="M10" s="16">
        <v>1</v>
      </c>
      <c r="N10" s="16">
        <v>36</v>
      </c>
      <c r="O10" s="16">
        <v>1</v>
      </c>
      <c r="P10" s="16" t="s">
        <v>65</v>
      </c>
      <c r="Q10" s="15">
        <f t="shared" si="1"/>
        <v>60</v>
      </c>
      <c r="R10" s="14">
        <f>Q10*60</f>
        <v>3600</v>
      </c>
      <c r="S10" s="16">
        <v>2</v>
      </c>
      <c r="T10" s="16">
        <v>2</v>
      </c>
      <c r="U10" s="16">
        <v>7</v>
      </c>
      <c r="V10" s="16">
        <v>8</v>
      </c>
      <c r="W10" s="16">
        <v>5</v>
      </c>
      <c r="X10" s="16">
        <v>20</v>
      </c>
      <c r="Y10" s="15">
        <f t="shared" si="2"/>
        <v>44</v>
      </c>
      <c r="Z10" s="14">
        <f>Y10*60</f>
        <v>2640</v>
      </c>
      <c r="AA10" s="16">
        <v>8</v>
      </c>
      <c r="AB10" s="16">
        <v>30</v>
      </c>
      <c r="AC10" s="16">
        <v>5</v>
      </c>
      <c r="AD10" s="16">
        <v>21</v>
      </c>
      <c r="AE10" s="16"/>
      <c r="AF10" s="16">
        <v>9</v>
      </c>
      <c r="AG10" s="16">
        <v>14</v>
      </c>
      <c r="AH10" s="15">
        <f t="shared" si="3"/>
        <v>87</v>
      </c>
      <c r="AI10" s="14">
        <f>AH10*60</f>
        <v>5220</v>
      </c>
      <c r="AP10" s="57" t="s">
        <v>7</v>
      </c>
      <c r="AQ10" s="21">
        <f>AL58</f>
        <v>10268</v>
      </c>
    </row>
    <row r="11" spans="2:43" ht="15.6" x14ac:dyDescent="0.3">
      <c r="B11" s="17" t="s">
        <v>55</v>
      </c>
      <c r="C11" s="16">
        <v>1</v>
      </c>
      <c r="D11" s="16">
        <v>1</v>
      </c>
      <c r="E11" s="16">
        <v>1</v>
      </c>
      <c r="F11" s="16">
        <v>11</v>
      </c>
      <c r="G11" s="16">
        <v>6</v>
      </c>
      <c r="H11" s="16"/>
      <c r="I11" s="15">
        <f t="shared" si="0"/>
        <v>20</v>
      </c>
      <c r="J11" s="14">
        <f>I11*65</f>
        <v>1300</v>
      </c>
      <c r="K11" s="16">
        <v>30</v>
      </c>
      <c r="L11" s="16">
        <v>1</v>
      </c>
      <c r="M11" s="16">
        <v>3</v>
      </c>
      <c r="N11" s="16">
        <v>2</v>
      </c>
      <c r="O11" s="16"/>
      <c r="P11" s="16" t="s">
        <v>65</v>
      </c>
      <c r="Q11" s="15">
        <f t="shared" si="1"/>
        <v>36</v>
      </c>
      <c r="R11" s="14">
        <f>Q11*65</f>
        <v>2340</v>
      </c>
      <c r="S11" s="16"/>
      <c r="T11" s="16" t="s">
        <v>65</v>
      </c>
      <c r="U11" s="16" t="s">
        <v>65</v>
      </c>
      <c r="V11" s="16" t="s">
        <v>65</v>
      </c>
      <c r="W11" s="16">
        <v>2</v>
      </c>
      <c r="X11" s="16" t="s">
        <v>65</v>
      </c>
      <c r="Y11" s="15">
        <f t="shared" si="2"/>
        <v>2</v>
      </c>
      <c r="Z11" s="14">
        <f>Y11*65</f>
        <v>130</v>
      </c>
      <c r="AA11" s="16" t="s">
        <v>65</v>
      </c>
      <c r="AB11" s="16"/>
      <c r="AC11" s="16" t="s">
        <v>65</v>
      </c>
      <c r="AD11" s="16" t="s">
        <v>65</v>
      </c>
      <c r="AE11" s="16"/>
      <c r="AF11" s="16"/>
      <c r="AG11" s="16">
        <v>1</v>
      </c>
      <c r="AH11" s="15">
        <f t="shared" si="3"/>
        <v>1</v>
      </c>
      <c r="AI11" s="14">
        <f>AH11*65</f>
        <v>65</v>
      </c>
      <c r="AP11" s="57" t="s">
        <v>3</v>
      </c>
      <c r="AQ11" s="18">
        <f>AL59</f>
        <v>970705</v>
      </c>
    </row>
    <row r="12" spans="2:43" ht="15.6" x14ac:dyDescent="0.3">
      <c r="B12" s="17" t="s">
        <v>54</v>
      </c>
      <c r="C12" s="16">
        <v>1</v>
      </c>
      <c r="D12" s="16" t="s">
        <v>65</v>
      </c>
      <c r="E12" s="16">
        <v>1</v>
      </c>
      <c r="F12" s="16">
        <v>10</v>
      </c>
      <c r="G12" s="16">
        <v>6</v>
      </c>
      <c r="H12" s="16"/>
      <c r="I12" s="15">
        <f t="shared" si="0"/>
        <v>18</v>
      </c>
      <c r="J12" s="14">
        <f>I12*65</f>
        <v>1170</v>
      </c>
      <c r="K12" s="16">
        <v>15</v>
      </c>
      <c r="L12" s="16">
        <v>2</v>
      </c>
      <c r="M12" s="16" t="s">
        <v>65</v>
      </c>
      <c r="N12" s="16">
        <v>2</v>
      </c>
      <c r="O12" s="16"/>
      <c r="P12" s="16">
        <v>1</v>
      </c>
      <c r="Q12" s="15">
        <f t="shared" si="1"/>
        <v>20</v>
      </c>
      <c r="R12" s="14">
        <f>Q12*65</f>
        <v>1300</v>
      </c>
      <c r="S12" s="16">
        <v>2</v>
      </c>
      <c r="T12" s="16">
        <v>2</v>
      </c>
      <c r="U12" s="16" t="s">
        <v>65</v>
      </c>
      <c r="V12" s="16">
        <v>5</v>
      </c>
      <c r="W12" s="16">
        <v>7</v>
      </c>
      <c r="X12" s="16">
        <v>3</v>
      </c>
      <c r="Y12" s="15">
        <f t="shared" si="2"/>
        <v>19</v>
      </c>
      <c r="Z12" s="14">
        <f>Y12*65</f>
        <v>1235</v>
      </c>
      <c r="AA12" s="20">
        <v>1</v>
      </c>
      <c r="AB12" s="16"/>
      <c r="AC12" s="16">
        <v>1</v>
      </c>
      <c r="AD12" s="16" t="s">
        <v>65</v>
      </c>
      <c r="AE12" s="16"/>
      <c r="AF12" s="16">
        <v>1</v>
      </c>
      <c r="AG12" s="16"/>
      <c r="AH12" s="15">
        <f t="shared" si="3"/>
        <v>3</v>
      </c>
      <c r="AI12" s="14">
        <f>AH12*65</f>
        <v>195</v>
      </c>
      <c r="AP12" s="56" t="s">
        <v>4</v>
      </c>
      <c r="AQ12" s="12">
        <f>AL61</f>
        <v>1773</v>
      </c>
    </row>
    <row r="13" spans="2:43" ht="15.6" x14ac:dyDescent="0.3">
      <c r="B13" s="17" t="s">
        <v>40</v>
      </c>
      <c r="C13" s="16">
        <v>21</v>
      </c>
      <c r="D13" s="16">
        <v>109</v>
      </c>
      <c r="E13" s="16">
        <v>20</v>
      </c>
      <c r="F13" s="16">
        <v>86</v>
      </c>
      <c r="G13" s="16">
        <v>57</v>
      </c>
      <c r="H13" s="16"/>
      <c r="I13" s="15">
        <f t="shared" si="0"/>
        <v>293</v>
      </c>
      <c r="J13" s="14">
        <f>I13*95</f>
        <v>27835</v>
      </c>
      <c r="K13" s="16">
        <v>24</v>
      </c>
      <c r="L13" s="16">
        <v>45</v>
      </c>
      <c r="M13" s="16" t="s">
        <v>65</v>
      </c>
      <c r="N13" s="16">
        <v>16</v>
      </c>
      <c r="O13" s="16">
        <v>17</v>
      </c>
      <c r="P13" s="16">
        <v>10</v>
      </c>
      <c r="Q13" s="15">
        <f t="shared" si="1"/>
        <v>112</v>
      </c>
      <c r="R13" s="14">
        <f>Q13*95</f>
        <v>10640</v>
      </c>
      <c r="S13" s="16">
        <v>32</v>
      </c>
      <c r="T13" s="16">
        <v>32</v>
      </c>
      <c r="U13" s="16">
        <v>16</v>
      </c>
      <c r="V13" s="16"/>
      <c r="W13" s="16">
        <v>41</v>
      </c>
      <c r="X13" s="16">
        <v>150</v>
      </c>
      <c r="Y13" s="15">
        <f t="shared" si="2"/>
        <v>271</v>
      </c>
      <c r="Z13" s="14">
        <f>Y13*95</f>
        <v>25745</v>
      </c>
      <c r="AA13" s="16">
        <v>38</v>
      </c>
      <c r="AB13" s="16">
        <v>40</v>
      </c>
      <c r="AC13" s="16">
        <v>74</v>
      </c>
      <c r="AD13" s="16">
        <v>20</v>
      </c>
      <c r="AE13" s="16"/>
      <c r="AF13" s="16"/>
      <c r="AG13" s="16">
        <v>35</v>
      </c>
      <c r="AH13" s="15">
        <f t="shared" si="3"/>
        <v>207</v>
      </c>
      <c r="AI13" s="14">
        <f>AH13*95</f>
        <v>19665</v>
      </c>
      <c r="AP13" s="55" t="s">
        <v>3</v>
      </c>
      <c r="AQ13" s="6">
        <f>AL62</f>
        <v>177300</v>
      </c>
    </row>
    <row r="14" spans="2:43" x14ac:dyDescent="0.3">
      <c r="B14" s="17" t="s">
        <v>53</v>
      </c>
      <c r="C14" s="16">
        <v>21</v>
      </c>
      <c r="D14" s="16">
        <v>6</v>
      </c>
      <c r="E14" s="16">
        <v>30</v>
      </c>
      <c r="F14" s="16">
        <v>90</v>
      </c>
      <c r="G14" s="16" t="s">
        <v>65</v>
      </c>
      <c r="H14" s="16"/>
      <c r="I14" s="15">
        <f t="shared" si="0"/>
        <v>147</v>
      </c>
      <c r="J14" s="14">
        <f>I14*105</f>
        <v>15435</v>
      </c>
      <c r="K14" s="16">
        <v>65</v>
      </c>
      <c r="L14" s="16">
        <v>40</v>
      </c>
      <c r="M14" s="16"/>
      <c r="N14" s="16">
        <v>52</v>
      </c>
      <c r="O14" s="16">
        <v>25</v>
      </c>
      <c r="P14" s="16">
        <v>15</v>
      </c>
      <c r="Q14" s="15">
        <f t="shared" si="1"/>
        <v>197</v>
      </c>
      <c r="R14" s="14">
        <f>Q14*105</f>
        <v>20685</v>
      </c>
      <c r="S14" s="16">
        <v>1</v>
      </c>
      <c r="T14" s="16">
        <v>28</v>
      </c>
      <c r="U14" s="16">
        <v>26</v>
      </c>
      <c r="V14" s="16"/>
      <c r="W14" s="16">
        <v>21</v>
      </c>
      <c r="X14" s="16">
        <v>25</v>
      </c>
      <c r="Y14" s="15">
        <f t="shared" si="2"/>
        <v>101</v>
      </c>
      <c r="Z14" s="14">
        <f>Y14*105</f>
        <v>10605</v>
      </c>
      <c r="AA14" s="16">
        <v>41</v>
      </c>
      <c r="AB14" s="16">
        <v>15</v>
      </c>
      <c r="AC14" s="16">
        <v>1</v>
      </c>
      <c r="AD14" s="16">
        <v>25</v>
      </c>
      <c r="AE14" s="16"/>
      <c r="AF14" s="16"/>
      <c r="AG14" s="16">
        <v>41</v>
      </c>
      <c r="AH14" s="15">
        <f t="shared" si="3"/>
        <v>123</v>
      </c>
      <c r="AI14" s="14">
        <f>AH14*105</f>
        <v>12915</v>
      </c>
      <c r="AP14" s="10"/>
    </row>
    <row r="15" spans="2:43" ht="15.6" x14ac:dyDescent="0.3">
      <c r="B15" s="17" t="s">
        <v>52</v>
      </c>
      <c r="C15" s="16">
        <v>1</v>
      </c>
      <c r="D15" s="16">
        <v>1</v>
      </c>
      <c r="E15" s="16" t="s">
        <v>65</v>
      </c>
      <c r="F15" s="16">
        <v>7</v>
      </c>
      <c r="G15" s="16">
        <v>1</v>
      </c>
      <c r="H15" s="16"/>
      <c r="I15" s="15">
        <f t="shared" si="0"/>
        <v>10</v>
      </c>
      <c r="J15" s="14">
        <f>I15*110</f>
        <v>1100</v>
      </c>
      <c r="K15" s="16">
        <v>25</v>
      </c>
      <c r="L15" s="16">
        <v>4</v>
      </c>
      <c r="M15" s="16"/>
      <c r="N15" s="16">
        <v>5</v>
      </c>
      <c r="O15" s="16">
        <v>2</v>
      </c>
      <c r="P15" s="16"/>
      <c r="Q15" s="15">
        <f t="shared" si="1"/>
        <v>36</v>
      </c>
      <c r="R15" s="14">
        <f>Q15*110</f>
        <v>3960</v>
      </c>
      <c r="S15" s="16"/>
      <c r="T15" s="16">
        <v>5</v>
      </c>
      <c r="U15" s="16"/>
      <c r="V15" s="16"/>
      <c r="W15" s="16">
        <v>6</v>
      </c>
      <c r="X15" s="16">
        <v>20</v>
      </c>
      <c r="Y15" s="15">
        <f t="shared" si="2"/>
        <v>31</v>
      </c>
      <c r="Z15" s="14">
        <f>Y15*110</f>
        <v>3410</v>
      </c>
      <c r="AA15" s="16"/>
      <c r="AB15" s="16">
        <v>6</v>
      </c>
      <c r="AC15" s="16"/>
      <c r="AD15" s="16">
        <v>5</v>
      </c>
      <c r="AE15" s="16"/>
      <c r="AF15" s="16"/>
      <c r="AG15" s="16">
        <v>10</v>
      </c>
      <c r="AH15" s="15">
        <f t="shared" si="3"/>
        <v>21</v>
      </c>
      <c r="AI15" s="14">
        <f>AH15*110</f>
        <v>2310</v>
      </c>
      <c r="AP15" s="54" t="s">
        <v>51</v>
      </c>
      <c r="AQ15" s="66">
        <v>298470</v>
      </c>
    </row>
    <row r="16" spans="2:43" x14ac:dyDescent="0.3">
      <c r="B16" s="17" t="s">
        <v>50</v>
      </c>
      <c r="C16" s="16" t="s">
        <v>65</v>
      </c>
      <c r="D16" s="16" t="s">
        <v>65</v>
      </c>
      <c r="E16" s="16" t="s">
        <v>65</v>
      </c>
      <c r="F16" s="16">
        <v>2</v>
      </c>
      <c r="G16" s="16">
        <v>4</v>
      </c>
      <c r="H16" s="16"/>
      <c r="I16" s="15">
        <f t="shared" si="0"/>
        <v>6</v>
      </c>
      <c r="J16" s="14">
        <f>I16*70</f>
        <v>420</v>
      </c>
      <c r="K16" s="16"/>
      <c r="L16" s="16">
        <v>1</v>
      </c>
      <c r="M16" s="16"/>
      <c r="N16" s="16"/>
      <c r="O16" s="16">
        <v>8</v>
      </c>
      <c r="P16" s="16"/>
      <c r="Q16" s="15">
        <f t="shared" si="1"/>
        <v>9</v>
      </c>
      <c r="R16" s="14">
        <f>Q16*70</f>
        <v>630</v>
      </c>
      <c r="S16" s="20">
        <v>1</v>
      </c>
      <c r="T16" s="16"/>
      <c r="U16" s="16"/>
      <c r="V16" s="16"/>
      <c r="W16" s="16">
        <v>6</v>
      </c>
      <c r="X16" s="16"/>
      <c r="Y16" s="15">
        <f t="shared" si="2"/>
        <v>7</v>
      </c>
      <c r="Z16" s="14">
        <f>Y16*70</f>
        <v>490</v>
      </c>
      <c r="AA16" s="16"/>
      <c r="AB16" s="16"/>
      <c r="AC16" s="16"/>
      <c r="AD16" s="16"/>
      <c r="AE16" s="16">
        <v>1</v>
      </c>
      <c r="AF16" s="16"/>
      <c r="AG16" s="16">
        <v>1</v>
      </c>
      <c r="AH16" s="15">
        <f t="shared" si="3"/>
        <v>2</v>
      </c>
      <c r="AI16" s="14">
        <f>AH16*70</f>
        <v>140</v>
      </c>
    </row>
    <row r="17" spans="2:40" x14ac:dyDescent="0.3">
      <c r="B17" s="17" t="s">
        <v>28</v>
      </c>
      <c r="C17" s="16" t="s">
        <v>65</v>
      </c>
      <c r="D17" s="16"/>
      <c r="E17" s="16" t="s">
        <v>65</v>
      </c>
      <c r="F17" s="16"/>
      <c r="G17" s="16"/>
      <c r="H17" s="16"/>
      <c r="I17" s="15">
        <f t="shared" si="0"/>
        <v>0</v>
      </c>
      <c r="J17" s="14">
        <f>I17*0</f>
        <v>0</v>
      </c>
      <c r="K17" s="16"/>
      <c r="L17" s="16"/>
      <c r="M17" s="16"/>
      <c r="N17" s="16"/>
      <c r="O17" s="16"/>
      <c r="P17" s="16"/>
      <c r="Q17" s="15">
        <f t="shared" si="1"/>
        <v>0</v>
      </c>
      <c r="R17" s="14">
        <f>Q17*0</f>
        <v>0</v>
      </c>
      <c r="S17" s="16" t="s">
        <v>65</v>
      </c>
      <c r="T17" s="16"/>
      <c r="U17" s="16"/>
      <c r="V17" s="16" t="s">
        <v>65</v>
      </c>
      <c r="W17" s="16"/>
      <c r="X17" s="16" t="s">
        <v>65</v>
      </c>
      <c r="Y17" s="15">
        <f t="shared" si="2"/>
        <v>0</v>
      </c>
      <c r="Z17" s="14">
        <f>Y17*0</f>
        <v>0</v>
      </c>
      <c r="AA17" s="16" t="s">
        <v>65</v>
      </c>
      <c r="AB17" s="16" t="s">
        <v>65</v>
      </c>
      <c r="AC17" s="16" t="s">
        <v>65</v>
      </c>
      <c r="AD17" s="16" t="s">
        <v>65</v>
      </c>
      <c r="AE17" s="16" t="s">
        <v>65</v>
      </c>
      <c r="AF17" s="16"/>
      <c r="AG17" s="16"/>
      <c r="AH17" s="15">
        <f t="shared" si="3"/>
        <v>0</v>
      </c>
      <c r="AI17" s="14">
        <f>AH17*0</f>
        <v>0</v>
      </c>
    </row>
    <row r="18" spans="2:40" x14ac:dyDescent="0.3">
      <c r="B18" s="17" t="s">
        <v>49</v>
      </c>
      <c r="C18" s="16" t="s">
        <v>65</v>
      </c>
      <c r="D18" s="16"/>
      <c r="E18" s="16" t="s">
        <v>65</v>
      </c>
      <c r="F18" s="16"/>
      <c r="G18" s="16"/>
      <c r="H18" s="16"/>
      <c r="I18" s="15">
        <f t="shared" si="0"/>
        <v>0</v>
      </c>
      <c r="J18" s="14">
        <f>I18*0</f>
        <v>0</v>
      </c>
      <c r="K18" s="16"/>
      <c r="L18" s="16"/>
      <c r="M18" s="16"/>
      <c r="N18" s="16"/>
      <c r="O18" s="16"/>
      <c r="P18" s="16"/>
      <c r="Q18" s="15">
        <f t="shared" si="1"/>
        <v>0</v>
      </c>
      <c r="R18" s="14">
        <f>Q18*0</f>
        <v>0</v>
      </c>
      <c r="S18" s="16" t="s">
        <v>65</v>
      </c>
      <c r="T18" s="16"/>
      <c r="U18" s="16"/>
      <c r="V18" s="16" t="s">
        <v>65</v>
      </c>
      <c r="W18" s="16" t="s">
        <v>65</v>
      </c>
      <c r="X18" s="16" t="s">
        <v>65</v>
      </c>
      <c r="Y18" s="15">
        <f t="shared" si="2"/>
        <v>0</v>
      </c>
      <c r="Z18" s="14">
        <f>Y18*0</f>
        <v>0</v>
      </c>
      <c r="AA18" s="16" t="s">
        <v>65</v>
      </c>
      <c r="AB18" s="16" t="s">
        <v>65</v>
      </c>
      <c r="AC18" s="16"/>
      <c r="AD18" s="16" t="s">
        <v>65</v>
      </c>
      <c r="AE18" s="16" t="s">
        <v>65</v>
      </c>
      <c r="AF18" s="16"/>
      <c r="AG18" s="16"/>
      <c r="AH18" s="15">
        <f t="shared" si="3"/>
        <v>0</v>
      </c>
      <c r="AI18" s="14">
        <f>AH18*0</f>
        <v>0</v>
      </c>
    </row>
    <row r="19" spans="2:40" ht="15.6" x14ac:dyDescent="0.3">
      <c r="B19" s="52"/>
      <c r="C19" s="50"/>
      <c r="D19" s="50"/>
      <c r="E19" s="50"/>
      <c r="F19" s="50"/>
      <c r="G19" s="50"/>
      <c r="H19" s="50"/>
      <c r="I19" s="39">
        <f>SUM(I4:I16)</f>
        <v>1415</v>
      </c>
      <c r="J19" s="49">
        <f>SUM(J4:J16)</f>
        <v>102558</v>
      </c>
      <c r="K19" s="50"/>
      <c r="L19" s="50"/>
      <c r="M19" s="50"/>
      <c r="N19" s="50"/>
      <c r="O19" s="50"/>
      <c r="P19" s="50"/>
      <c r="Q19" s="39">
        <f>SUM(Q4:Q16)</f>
        <v>1370</v>
      </c>
      <c r="R19" s="49">
        <f>SUM(R4:R16)</f>
        <v>97181</v>
      </c>
      <c r="S19" s="50"/>
      <c r="T19" s="50"/>
      <c r="U19" s="50"/>
      <c r="V19" s="50"/>
      <c r="W19" s="50"/>
      <c r="X19" s="50"/>
      <c r="Y19" s="39">
        <f>SUM(Y4:Y16)</f>
        <v>1139</v>
      </c>
      <c r="Z19" s="49">
        <f>SUM(Z4:Z16)</f>
        <v>84115</v>
      </c>
      <c r="AA19" s="50"/>
      <c r="AB19" s="50"/>
      <c r="AC19" s="50"/>
      <c r="AD19" s="50"/>
      <c r="AE19" s="50"/>
      <c r="AF19" s="50"/>
      <c r="AG19" s="50"/>
      <c r="AH19" s="39">
        <f>SUM(AH4:AH16)</f>
        <v>1141</v>
      </c>
      <c r="AI19" s="49">
        <f>SUM(AI4:AI16)</f>
        <v>82367</v>
      </c>
      <c r="AK19" s="47" t="s">
        <v>48</v>
      </c>
      <c r="AL19" s="48">
        <f>I50+Q50+Y50+AH50</f>
        <v>6737</v>
      </c>
      <c r="AM19" s="30">
        <f>AL20/AL19</f>
        <v>72.533471871753008</v>
      </c>
    </row>
    <row r="20" spans="2:40" ht="15.6" customHeight="1" x14ac:dyDescent="0.3">
      <c r="B20" s="42" t="s">
        <v>47</v>
      </c>
      <c r="C20" s="16">
        <v>10</v>
      </c>
      <c r="D20" s="16">
        <v>15</v>
      </c>
      <c r="E20" s="16">
        <v>10</v>
      </c>
      <c r="F20" s="16">
        <v>20</v>
      </c>
      <c r="G20" s="16">
        <v>12</v>
      </c>
      <c r="H20" s="16"/>
      <c r="I20" s="15">
        <f>SUM(C20:H20)</f>
        <v>67</v>
      </c>
      <c r="J20" s="14">
        <f>I20*85</f>
        <v>5695</v>
      </c>
      <c r="K20" s="16"/>
      <c r="L20" s="16">
        <v>5</v>
      </c>
      <c r="M20" s="16"/>
      <c r="N20" s="16">
        <v>20</v>
      </c>
      <c r="O20" s="16">
        <v>70</v>
      </c>
      <c r="P20" s="16"/>
      <c r="Q20" s="15">
        <f>SUM(K20:P20)</f>
        <v>95</v>
      </c>
      <c r="R20" s="14">
        <f>Q20*85</f>
        <v>8075</v>
      </c>
      <c r="S20" s="16"/>
      <c r="T20" s="16"/>
      <c r="U20" s="16"/>
      <c r="V20" s="16"/>
      <c r="W20" s="16">
        <v>22</v>
      </c>
      <c r="X20" s="16"/>
      <c r="Y20" s="15">
        <f>SUM(S20:X20)</f>
        <v>22</v>
      </c>
      <c r="Z20" s="14">
        <f>Y20*85</f>
        <v>1870</v>
      </c>
      <c r="AA20" s="16"/>
      <c r="AB20" s="16">
        <v>8</v>
      </c>
      <c r="AC20" s="16" t="s">
        <v>65</v>
      </c>
      <c r="AD20" s="16">
        <v>25</v>
      </c>
      <c r="AE20" s="16"/>
      <c r="AF20" s="16"/>
      <c r="AG20" s="16"/>
      <c r="AH20" s="15">
        <f>SUM(AA20:AG20)</f>
        <v>33</v>
      </c>
      <c r="AI20" s="14">
        <f>AH20*98</f>
        <v>3234</v>
      </c>
      <c r="AK20" s="47" t="s">
        <v>3</v>
      </c>
      <c r="AL20" s="46">
        <f>J50+R50+Z50+AI50</f>
        <v>488658</v>
      </c>
    </row>
    <row r="21" spans="2:40" x14ac:dyDescent="0.3">
      <c r="B21" s="42" t="s">
        <v>46</v>
      </c>
      <c r="C21" s="16" t="s">
        <v>65</v>
      </c>
      <c r="D21" s="16">
        <v>5</v>
      </c>
      <c r="E21" s="16">
        <v>40</v>
      </c>
      <c r="F21" s="16">
        <v>30</v>
      </c>
      <c r="G21" s="16">
        <v>10</v>
      </c>
      <c r="H21" s="16"/>
      <c r="I21" s="15">
        <f t="shared" ref="I21:I47" si="4">SUM(C21:H21)</f>
        <v>85</v>
      </c>
      <c r="J21" s="14">
        <f>I21*84</f>
        <v>7140</v>
      </c>
      <c r="K21" s="16">
        <v>15</v>
      </c>
      <c r="L21" s="16">
        <v>5</v>
      </c>
      <c r="M21" s="16"/>
      <c r="N21" s="16"/>
      <c r="O21" s="16">
        <v>66</v>
      </c>
      <c r="P21" s="16"/>
      <c r="Q21" s="15">
        <f t="shared" ref="Q21:Q47" si="5">SUM(K21:P21)</f>
        <v>86</v>
      </c>
      <c r="R21" s="14">
        <f>Q21*84</f>
        <v>7224</v>
      </c>
      <c r="S21" s="16"/>
      <c r="T21" s="16">
        <v>15</v>
      </c>
      <c r="U21" s="16"/>
      <c r="V21" s="16"/>
      <c r="W21" s="16">
        <v>45</v>
      </c>
      <c r="X21" s="16"/>
      <c r="Y21" s="15">
        <f t="shared" ref="Y21:Y43" si="6">SUM(S21:X21)</f>
        <v>60</v>
      </c>
      <c r="Z21" s="14">
        <f>Y21*84</f>
        <v>5040</v>
      </c>
      <c r="AA21" s="16" t="s">
        <v>65</v>
      </c>
      <c r="AB21" s="16" t="s">
        <v>65</v>
      </c>
      <c r="AC21" s="16" t="s">
        <v>65</v>
      </c>
      <c r="AD21" s="16">
        <v>20</v>
      </c>
      <c r="AE21" s="16">
        <v>15</v>
      </c>
      <c r="AF21" s="16"/>
      <c r="AG21" s="16"/>
      <c r="AH21" s="15">
        <f t="shared" ref="AH21:AH47" si="7">SUM(AA21:AG21)</f>
        <v>35</v>
      </c>
      <c r="AI21" s="14">
        <f>AH21*96</f>
        <v>3360</v>
      </c>
    </row>
    <row r="22" spans="2:40" x14ac:dyDescent="0.3">
      <c r="B22" s="42" t="s">
        <v>45</v>
      </c>
      <c r="C22" s="16">
        <v>5</v>
      </c>
      <c r="D22" s="16" t="s">
        <v>65</v>
      </c>
      <c r="E22" s="16" t="s">
        <v>65</v>
      </c>
      <c r="F22" s="16">
        <v>4</v>
      </c>
      <c r="G22" s="16">
        <v>3</v>
      </c>
      <c r="H22" s="16">
        <v>38</v>
      </c>
      <c r="I22" s="15">
        <f t="shared" si="4"/>
        <v>50</v>
      </c>
      <c r="J22" s="14">
        <f>I22*85</f>
        <v>4250</v>
      </c>
      <c r="K22" s="16"/>
      <c r="L22" s="16"/>
      <c r="M22" s="16"/>
      <c r="N22" s="16"/>
      <c r="O22" s="16"/>
      <c r="P22" s="16"/>
      <c r="Q22" s="15">
        <f t="shared" si="5"/>
        <v>0</v>
      </c>
      <c r="R22" s="14">
        <f>Q22*85</f>
        <v>0</v>
      </c>
      <c r="S22" s="16"/>
      <c r="T22" s="16"/>
      <c r="U22" s="16"/>
      <c r="V22" s="16"/>
      <c r="W22" s="16"/>
      <c r="X22" s="16"/>
      <c r="Y22" s="15">
        <f t="shared" si="6"/>
        <v>0</v>
      </c>
      <c r="Z22" s="14">
        <f>Y22*85</f>
        <v>0</v>
      </c>
      <c r="AA22" s="16" t="s">
        <v>65</v>
      </c>
      <c r="AB22" s="16">
        <v>15</v>
      </c>
      <c r="AC22" s="16" t="s">
        <v>65</v>
      </c>
      <c r="AD22" s="16">
        <v>6</v>
      </c>
      <c r="AE22" s="16"/>
      <c r="AF22" s="16">
        <v>15</v>
      </c>
      <c r="AG22" s="16">
        <v>2</v>
      </c>
      <c r="AH22" s="15">
        <f t="shared" si="7"/>
        <v>38</v>
      </c>
      <c r="AI22" s="14">
        <f>AH22*98</f>
        <v>3724</v>
      </c>
      <c r="AN22">
        <f>MAYO!AO19-JUNIO!AL19</f>
        <v>296</v>
      </c>
    </row>
    <row r="23" spans="2:40" x14ac:dyDescent="0.3">
      <c r="B23" s="42" t="s">
        <v>44</v>
      </c>
      <c r="C23" s="16">
        <v>3</v>
      </c>
      <c r="D23" s="16">
        <v>6</v>
      </c>
      <c r="E23" s="16">
        <v>15</v>
      </c>
      <c r="F23" s="16">
        <v>14</v>
      </c>
      <c r="G23" s="16">
        <v>3</v>
      </c>
      <c r="H23" s="16"/>
      <c r="I23" s="15">
        <f t="shared" si="4"/>
        <v>41</v>
      </c>
      <c r="J23" s="14">
        <f>I23*85</f>
        <v>3485</v>
      </c>
      <c r="K23" s="16"/>
      <c r="L23" s="16"/>
      <c r="M23" s="16"/>
      <c r="N23" s="16">
        <v>6</v>
      </c>
      <c r="O23" s="16">
        <v>3</v>
      </c>
      <c r="P23" s="16"/>
      <c r="Q23" s="15">
        <f t="shared" si="5"/>
        <v>9</v>
      </c>
      <c r="R23" s="14">
        <f>Q23*85</f>
        <v>765</v>
      </c>
      <c r="S23" s="16">
        <v>4</v>
      </c>
      <c r="T23" s="16">
        <v>10</v>
      </c>
      <c r="U23" s="16"/>
      <c r="V23" s="16"/>
      <c r="W23" s="16">
        <v>5</v>
      </c>
      <c r="X23" s="16"/>
      <c r="Y23" s="15">
        <f t="shared" si="6"/>
        <v>19</v>
      </c>
      <c r="Z23" s="14">
        <f>Y23*85</f>
        <v>1615</v>
      </c>
      <c r="AA23" s="16" t="s">
        <v>65</v>
      </c>
      <c r="AB23" s="16">
        <v>10</v>
      </c>
      <c r="AC23" s="16" t="s">
        <v>65</v>
      </c>
      <c r="AD23" s="16">
        <v>15</v>
      </c>
      <c r="AE23" s="16"/>
      <c r="AF23" s="16"/>
      <c r="AG23" s="16">
        <v>5</v>
      </c>
      <c r="AH23" s="15">
        <f t="shared" si="7"/>
        <v>30</v>
      </c>
      <c r="AI23" s="14">
        <f>AH23*82</f>
        <v>2460</v>
      </c>
    </row>
    <row r="24" spans="2:40" ht="15.6" x14ac:dyDescent="0.3">
      <c r="B24" s="42" t="s">
        <v>43</v>
      </c>
      <c r="C24" s="16"/>
      <c r="D24" s="16"/>
      <c r="E24" s="16" t="s">
        <v>65</v>
      </c>
      <c r="F24" s="16"/>
      <c r="G24" s="16"/>
      <c r="H24" s="16"/>
      <c r="I24" s="15">
        <f t="shared" si="4"/>
        <v>0</v>
      </c>
      <c r="J24" s="14">
        <f>I24*85</f>
        <v>0</v>
      </c>
      <c r="K24" s="16"/>
      <c r="L24" s="16"/>
      <c r="M24" s="16"/>
      <c r="N24" s="16">
        <v>1</v>
      </c>
      <c r="O24" s="16"/>
      <c r="P24" s="16"/>
      <c r="Q24" s="15">
        <f t="shared" si="5"/>
        <v>1</v>
      </c>
      <c r="R24" s="14">
        <f>Q24*85</f>
        <v>85</v>
      </c>
      <c r="S24" s="16"/>
      <c r="T24" s="16"/>
      <c r="U24" s="16"/>
      <c r="V24" s="16"/>
      <c r="W24" s="16"/>
      <c r="X24" s="16"/>
      <c r="Y24" s="15">
        <f t="shared" si="6"/>
        <v>0</v>
      </c>
      <c r="Z24" s="14">
        <f>Y24*85</f>
        <v>0</v>
      </c>
      <c r="AA24" s="16" t="s">
        <v>65</v>
      </c>
      <c r="AB24" s="16" t="s">
        <v>65</v>
      </c>
      <c r="AC24" s="16" t="s">
        <v>65</v>
      </c>
      <c r="AD24" s="16" t="s">
        <v>65</v>
      </c>
      <c r="AE24" s="16"/>
      <c r="AF24" s="16"/>
      <c r="AG24" s="16"/>
      <c r="AH24" s="15">
        <f t="shared" si="7"/>
        <v>0</v>
      </c>
      <c r="AI24" s="14">
        <f>AH24*100</f>
        <v>0</v>
      </c>
      <c r="AK24" s="70" t="s">
        <v>42</v>
      </c>
      <c r="AL24" s="70"/>
    </row>
    <row r="25" spans="2:40" ht="15.6" x14ac:dyDescent="0.3">
      <c r="B25" s="42" t="s">
        <v>41</v>
      </c>
      <c r="C25" s="16"/>
      <c r="D25" s="16"/>
      <c r="E25" s="16">
        <v>15</v>
      </c>
      <c r="F25" s="16"/>
      <c r="G25" s="16"/>
      <c r="H25" s="16"/>
      <c r="I25" s="15">
        <f t="shared" si="4"/>
        <v>15</v>
      </c>
      <c r="J25" s="14">
        <f>I25*84</f>
        <v>1260</v>
      </c>
      <c r="K25" s="16"/>
      <c r="L25" s="16"/>
      <c r="M25" s="16"/>
      <c r="N25" s="16"/>
      <c r="O25" s="16"/>
      <c r="P25" s="16"/>
      <c r="Q25" s="15">
        <f t="shared" si="5"/>
        <v>0</v>
      </c>
      <c r="R25" s="14">
        <f>Q25*84</f>
        <v>0</v>
      </c>
      <c r="S25" s="16"/>
      <c r="T25" s="16"/>
      <c r="U25" s="16"/>
      <c r="V25" s="16"/>
      <c r="W25" s="16"/>
      <c r="X25" s="16"/>
      <c r="Y25" s="15">
        <f t="shared" si="6"/>
        <v>0</v>
      </c>
      <c r="Z25" s="14">
        <f>Y25*84</f>
        <v>0</v>
      </c>
      <c r="AA25" s="16" t="s">
        <v>65</v>
      </c>
      <c r="AB25" s="16" t="s">
        <v>65</v>
      </c>
      <c r="AC25" s="16" t="s">
        <v>65</v>
      </c>
      <c r="AD25" s="16" t="s">
        <v>65</v>
      </c>
      <c r="AE25" s="16"/>
      <c r="AF25" s="16"/>
      <c r="AG25" s="16"/>
      <c r="AH25" s="15">
        <f t="shared" si="7"/>
        <v>0</v>
      </c>
      <c r="AI25" s="14">
        <f>AH25*115</f>
        <v>0</v>
      </c>
      <c r="AK25" s="45" t="s">
        <v>40</v>
      </c>
      <c r="AL25" s="44">
        <f>I13+Q13+Y13+AH13</f>
        <v>883</v>
      </c>
    </row>
    <row r="26" spans="2:40" ht="15.6" x14ac:dyDescent="0.3">
      <c r="B26" s="42" t="s">
        <v>39</v>
      </c>
      <c r="C26" s="16">
        <v>2</v>
      </c>
      <c r="D26" s="16"/>
      <c r="E26" s="16"/>
      <c r="F26" s="16"/>
      <c r="G26" s="16"/>
      <c r="H26" s="16"/>
      <c r="I26" s="15">
        <f t="shared" si="4"/>
        <v>2</v>
      </c>
      <c r="J26" s="14">
        <f>I26*85</f>
        <v>170</v>
      </c>
      <c r="K26" s="16"/>
      <c r="L26" s="16"/>
      <c r="M26" s="16"/>
      <c r="N26" s="16"/>
      <c r="O26" s="16"/>
      <c r="P26" s="16"/>
      <c r="Q26" s="15">
        <f t="shared" si="5"/>
        <v>0</v>
      </c>
      <c r="R26" s="14">
        <f>Q26*85</f>
        <v>0</v>
      </c>
      <c r="S26" s="16"/>
      <c r="T26" s="16"/>
      <c r="U26" s="16"/>
      <c r="V26" s="16"/>
      <c r="W26" s="16"/>
      <c r="X26" s="16"/>
      <c r="Y26" s="15">
        <f t="shared" si="6"/>
        <v>0</v>
      </c>
      <c r="Z26" s="14">
        <f>Y26*85</f>
        <v>0</v>
      </c>
      <c r="AA26" s="16" t="s">
        <v>65</v>
      </c>
      <c r="AB26" s="16" t="s">
        <v>65</v>
      </c>
      <c r="AC26" s="16" t="s">
        <v>65</v>
      </c>
      <c r="AD26" s="16" t="s">
        <v>65</v>
      </c>
      <c r="AE26" s="16"/>
      <c r="AF26" s="16"/>
      <c r="AG26" s="16"/>
      <c r="AH26" s="15">
        <f t="shared" si="7"/>
        <v>0</v>
      </c>
      <c r="AI26" s="14">
        <f>AH26*85</f>
        <v>0</v>
      </c>
      <c r="AK26" s="45" t="s">
        <v>38</v>
      </c>
      <c r="AL26" s="44">
        <f>I14+Q14+Y14+AH14</f>
        <v>568</v>
      </c>
    </row>
    <row r="27" spans="2:40" ht="15.6" x14ac:dyDescent="0.3">
      <c r="B27" s="42" t="s">
        <v>37</v>
      </c>
      <c r="C27" s="16"/>
      <c r="D27" s="16"/>
      <c r="E27" s="16"/>
      <c r="F27" s="16"/>
      <c r="G27" s="16"/>
      <c r="H27" s="16"/>
      <c r="I27" s="15">
        <f t="shared" si="4"/>
        <v>0</v>
      </c>
      <c r="J27" s="14">
        <f>I27*85</f>
        <v>0</v>
      </c>
      <c r="K27" s="16"/>
      <c r="L27" s="16"/>
      <c r="M27" s="16"/>
      <c r="N27" s="16"/>
      <c r="O27" s="16"/>
      <c r="P27" s="16"/>
      <c r="Q27" s="15">
        <f t="shared" si="5"/>
        <v>0</v>
      </c>
      <c r="R27" s="14">
        <f>Q27*85</f>
        <v>0</v>
      </c>
      <c r="S27" s="16"/>
      <c r="T27" s="16"/>
      <c r="U27" s="16"/>
      <c r="V27" s="16"/>
      <c r="W27" s="16"/>
      <c r="X27" s="16"/>
      <c r="Y27" s="15">
        <f t="shared" si="6"/>
        <v>0</v>
      </c>
      <c r="Z27" s="14">
        <f>Y27*85</f>
        <v>0</v>
      </c>
      <c r="AA27" s="16" t="s">
        <v>65</v>
      </c>
      <c r="AB27" s="16" t="s">
        <v>65</v>
      </c>
      <c r="AC27" s="16"/>
      <c r="AD27" s="16"/>
      <c r="AE27" s="16"/>
      <c r="AF27" s="16"/>
      <c r="AG27" s="16"/>
      <c r="AH27" s="15">
        <f t="shared" si="7"/>
        <v>0</v>
      </c>
      <c r="AI27" s="14">
        <f>AH27*85</f>
        <v>0</v>
      </c>
      <c r="AK27" s="45" t="s">
        <v>36</v>
      </c>
      <c r="AL27" s="44">
        <f>I15+Q15+Y15+AH15</f>
        <v>98</v>
      </c>
    </row>
    <row r="28" spans="2:40" x14ac:dyDescent="0.3">
      <c r="B28" s="42" t="s">
        <v>35</v>
      </c>
      <c r="C28" s="16"/>
      <c r="D28" s="16"/>
      <c r="E28" s="16"/>
      <c r="F28" s="16">
        <v>5</v>
      </c>
      <c r="G28" s="20"/>
      <c r="H28" s="16"/>
      <c r="I28" s="15">
        <f t="shared" si="4"/>
        <v>5</v>
      </c>
      <c r="J28" s="14">
        <f>I28*75</f>
        <v>375</v>
      </c>
      <c r="K28" s="16">
        <v>4</v>
      </c>
      <c r="L28" s="16"/>
      <c r="M28" s="16">
        <v>10</v>
      </c>
      <c r="N28" s="16">
        <v>3</v>
      </c>
      <c r="O28" s="16">
        <v>2</v>
      </c>
      <c r="P28" s="16">
        <v>8</v>
      </c>
      <c r="Q28" s="15">
        <f t="shared" si="5"/>
        <v>27</v>
      </c>
      <c r="R28" s="14">
        <f>Q28*75</f>
        <v>2025</v>
      </c>
      <c r="S28" s="16"/>
      <c r="T28" s="16"/>
      <c r="U28" s="16">
        <v>10</v>
      </c>
      <c r="V28" s="16"/>
      <c r="W28" s="16"/>
      <c r="X28" s="16"/>
      <c r="Y28" s="15">
        <f t="shared" si="6"/>
        <v>10</v>
      </c>
      <c r="Z28" s="14">
        <f>Y28*75</f>
        <v>750</v>
      </c>
      <c r="AA28" s="16" t="s">
        <v>65</v>
      </c>
      <c r="AB28" s="16" t="s">
        <v>65</v>
      </c>
      <c r="AC28" s="16"/>
      <c r="AD28" s="16">
        <v>8</v>
      </c>
      <c r="AE28" s="16"/>
      <c r="AF28" s="16"/>
      <c r="AG28" s="16"/>
      <c r="AH28" s="15">
        <f t="shared" si="7"/>
        <v>8</v>
      </c>
      <c r="AI28" s="14">
        <f>AH28*75</f>
        <v>600</v>
      </c>
      <c r="AJ28" t="s">
        <v>67</v>
      </c>
      <c r="AL28" s="43">
        <f>SUM(AL25:AL27)</f>
        <v>1549</v>
      </c>
    </row>
    <row r="29" spans="2:40" x14ac:dyDescent="0.3">
      <c r="B29" s="42" t="s">
        <v>34</v>
      </c>
      <c r="C29" s="16"/>
      <c r="D29" s="16"/>
      <c r="E29" s="16"/>
      <c r="F29" s="16">
        <v>5</v>
      </c>
      <c r="G29" s="16">
        <v>5</v>
      </c>
      <c r="H29" s="16"/>
      <c r="I29" s="15">
        <f t="shared" si="4"/>
        <v>10</v>
      </c>
      <c r="J29" s="14">
        <f>I29*75</f>
        <v>750</v>
      </c>
      <c r="K29" s="16"/>
      <c r="L29" s="16"/>
      <c r="M29" s="16"/>
      <c r="N29" s="16">
        <v>3</v>
      </c>
      <c r="O29" s="16">
        <v>1</v>
      </c>
      <c r="P29" s="16">
        <v>12</v>
      </c>
      <c r="Q29" s="15">
        <f t="shared" si="5"/>
        <v>16</v>
      </c>
      <c r="R29" s="14">
        <f>Q29*75</f>
        <v>1200</v>
      </c>
      <c r="S29" s="16"/>
      <c r="T29" s="16"/>
      <c r="U29" s="16"/>
      <c r="V29" s="16"/>
      <c r="W29" s="16"/>
      <c r="X29" s="16"/>
      <c r="Y29" s="15">
        <f t="shared" si="6"/>
        <v>0</v>
      </c>
      <c r="Z29" s="14">
        <f>Y29*75</f>
        <v>0</v>
      </c>
      <c r="AA29" s="16" t="s">
        <v>65</v>
      </c>
      <c r="AB29" s="16" t="s">
        <v>65</v>
      </c>
      <c r="AC29" s="16">
        <v>11</v>
      </c>
      <c r="AD29" s="16"/>
      <c r="AE29" s="16"/>
      <c r="AF29" s="16"/>
      <c r="AG29" s="16"/>
      <c r="AH29" s="15">
        <f t="shared" si="7"/>
        <v>11</v>
      </c>
      <c r="AI29" s="14">
        <f>AH29*75</f>
        <v>825</v>
      </c>
    </row>
    <row r="30" spans="2:40" x14ac:dyDescent="0.3">
      <c r="B30" s="42" t="s">
        <v>33</v>
      </c>
      <c r="C30" s="16">
        <v>17</v>
      </c>
      <c r="D30" s="16"/>
      <c r="E30" s="16">
        <v>15</v>
      </c>
      <c r="F30" s="16">
        <v>21</v>
      </c>
      <c r="G30" s="16">
        <v>5</v>
      </c>
      <c r="H30" s="16">
        <v>250</v>
      </c>
      <c r="I30" s="15">
        <f t="shared" si="4"/>
        <v>308</v>
      </c>
      <c r="J30" s="14">
        <f>I30*78</f>
        <v>24024</v>
      </c>
      <c r="K30" s="16">
        <v>10</v>
      </c>
      <c r="L30" s="16">
        <v>4</v>
      </c>
      <c r="M30" s="16"/>
      <c r="N30" s="16"/>
      <c r="O30" s="16">
        <v>30</v>
      </c>
      <c r="P30" s="16"/>
      <c r="Q30" s="15">
        <f t="shared" si="5"/>
        <v>44</v>
      </c>
      <c r="R30" s="14">
        <f>Q30*78</f>
        <v>3432</v>
      </c>
      <c r="S30" s="16">
        <v>3</v>
      </c>
      <c r="T30" s="16">
        <v>3</v>
      </c>
      <c r="U30" s="16"/>
      <c r="V30" s="16"/>
      <c r="W30" s="16">
        <v>3</v>
      </c>
      <c r="X30" s="16"/>
      <c r="Y30" s="15">
        <f t="shared" si="6"/>
        <v>9</v>
      </c>
      <c r="Z30" s="14">
        <f>Y30*78</f>
        <v>702</v>
      </c>
      <c r="AA30" s="16">
        <v>10</v>
      </c>
      <c r="AB30" s="16">
        <v>4</v>
      </c>
      <c r="AC30" s="16"/>
      <c r="AD30" s="16">
        <v>20</v>
      </c>
      <c r="AE30" s="16"/>
      <c r="AF30" s="16">
        <v>10</v>
      </c>
      <c r="AG30" s="16">
        <v>1</v>
      </c>
      <c r="AH30" s="15">
        <f t="shared" si="7"/>
        <v>45</v>
      </c>
      <c r="AI30" s="14">
        <f>AH30*78</f>
        <v>3510</v>
      </c>
    </row>
    <row r="31" spans="2:40" x14ac:dyDescent="0.3">
      <c r="B31" s="42" t="s">
        <v>32</v>
      </c>
      <c r="C31" s="16"/>
      <c r="D31" s="16"/>
      <c r="E31" s="16"/>
      <c r="F31" s="16"/>
      <c r="G31" s="16"/>
      <c r="H31" s="16"/>
      <c r="I31" s="15">
        <f t="shared" si="4"/>
        <v>0</v>
      </c>
      <c r="J31" s="14">
        <f>I31*70</f>
        <v>0</v>
      </c>
      <c r="K31" s="16"/>
      <c r="L31" s="16"/>
      <c r="M31" s="16"/>
      <c r="N31" s="16"/>
      <c r="O31" s="16"/>
      <c r="P31" s="16"/>
      <c r="Q31" s="15">
        <f t="shared" si="5"/>
        <v>0</v>
      </c>
      <c r="R31" s="14">
        <f>Q31*70</f>
        <v>0</v>
      </c>
      <c r="S31" s="16"/>
      <c r="T31" s="16"/>
      <c r="U31" s="16"/>
      <c r="V31" s="16"/>
      <c r="W31" s="16"/>
      <c r="X31" s="16"/>
      <c r="Y31" s="15">
        <f t="shared" si="6"/>
        <v>0</v>
      </c>
      <c r="Z31" s="14">
        <f>Y31*70</f>
        <v>0</v>
      </c>
      <c r="AA31" s="16" t="s">
        <v>65</v>
      </c>
      <c r="AB31" s="16" t="s">
        <v>65</v>
      </c>
      <c r="AC31" s="16"/>
      <c r="AD31" s="16"/>
      <c r="AE31" s="16"/>
      <c r="AF31" s="16"/>
      <c r="AG31" s="16"/>
      <c r="AH31" s="15">
        <f t="shared" si="7"/>
        <v>0</v>
      </c>
      <c r="AI31" s="14">
        <f>AH31*70</f>
        <v>0</v>
      </c>
    </row>
    <row r="32" spans="2:40" x14ac:dyDescent="0.3">
      <c r="B32" s="42" t="s">
        <v>31</v>
      </c>
      <c r="C32" s="16"/>
      <c r="D32" s="16"/>
      <c r="E32" s="16"/>
      <c r="F32" s="16"/>
      <c r="G32" s="16"/>
      <c r="H32" s="16"/>
      <c r="I32" s="15">
        <f t="shared" si="4"/>
        <v>0</v>
      </c>
      <c r="J32" s="14">
        <f>I32*60</f>
        <v>0</v>
      </c>
      <c r="K32" s="16"/>
      <c r="L32" s="16"/>
      <c r="M32" s="16"/>
      <c r="N32" s="16"/>
      <c r="O32" s="16"/>
      <c r="P32" s="16"/>
      <c r="Q32" s="15">
        <f t="shared" si="5"/>
        <v>0</v>
      </c>
      <c r="R32" s="14">
        <f>Q32*60</f>
        <v>0</v>
      </c>
      <c r="S32" s="16"/>
      <c r="T32" s="16" t="s">
        <v>65</v>
      </c>
      <c r="U32" s="16"/>
      <c r="V32" s="16" t="s">
        <v>65</v>
      </c>
      <c r="W32" s="16"/>
      <c r="X32" s="16"/>
      <c r="Y32" s="15">
        <f t="shared" si="6"/>
        <v>0</v>
      </c>
      <c r="Z32" s="14">
        <f>Y32*60</f>
        <v>0</v>
      </c>
      <c r="AA32" s="16" t="s">
        <v>65</v>
      </c>
      <c r="AB32" s="16" t="s">
        <v>65</v>
      </c>
      <c r="AC32" s="16"/>
      <c r="AD32" s="16"/>
      <c r="AE32" s="16"/>
      <c r="AF32" s="16"/>
      <c r="AG32" s="16"/>
      <c r="AH32" s="15">
        <f t="shared" si="7"/>
        <v>0</v>
      </c>
      <c r="AI32" s="14">
        <f>AH32*60</f>
        <v>0</v>
      </c>
    </row>
    <row r="33" spans="2:39" x14ac:dyDescent="0.3">
      <c r="B33" s="42" t="s">
        <v>30</v>
      </c>
      <c r="C33" s="16"/>
      <c r="D33" s="16"/>
      <c r="E33" s="16"/>
      <c r="F33" s="16"/>
      <c r="G33" s="16"/>
      <c r="H33" s="16"/>
      <c r="I33" s="15">
        <f t="shared" si="4"/>
        <v>0</v>
      </c>
      <c r="J33" s="14">
        <f>I33*60</f>
        <v>0</v>
      </c>
      <c r="K33" s="16"/>
      <c r="L33" s="16"/>
      <c r="M33" s="16"/>
      <c r="N33" s="16"/>
      <c r="O33" s="16"/>
      <c r="P33" s="16"/>
      <c r="Q33" s="15">
        <f t="shared" si="5"/>
        <v>0</v>
      </c>
      <c r="R33" s="14">
        <f>Q33*60</f>
        <v>0</v>
      </c>
      <c r="S33" s="16"/>
      <c r="T33" s="16" t="s">
        <v>65</v>
      </c>
      <c r="U33" s="16"/>
      <c r="V33" s="16" t="s">
        <v>65</v>
      </c>
      <c r="W33" s="16"/>
      <c r="X33" s="16"/>
      <c r="Y33" s="15">
        <f t="shared" si="6"/>
        <v>0</v>
      </c>
      <c r="Z33" s="14">
        <f>Y33*60</f>
        <v>0</v>
      </c>
      <c r="AA33" s="16" t="s">
        <v>65</v>
      </c>
      <c r="AB33" s="16" t="s">
        <v>65</v>
      </c>
      <c r="AC33" s="16"/>
      <c r="AD33" s="16"/>
      <c r="AE33" s="16"/>
      <c r="AF33" s="16"/>
      <c r="AG33" s="16"/>
      <c r="AH33" s="15">
        <f t="shared" si="7"/>
        <v>0</v>
      </c>
      <c r="AI33" s="14">
        <f>AH33*60</f>
        <v>0</v>
      </c>
    </row>
    <row r="34" spans="2:39" x14ac:dyDescent="0.3">
      <c r="B34" s="42" t="s">
        <v>29</v>
      </c>
      <c r="C34" s="16"/>
      <c r="D34" s="16"/>
      <c r="E34" s="16"/>
      <c r="F34" s="16"/>
      <c r="G34" s="16"/>
      <c r="H34" s="16"/>
      <c r="I34" s="15">
        <f t="shared" si="4"/>
        <v>0</v>
      </c>
      <c r="J34" s="14">
        <f>I34*40</f>
        <v>0</v>
      </c>
      <c r="K34" s="16"/>
      <c r="L34" s="16"/>
      <c r="M34" s="16"/>
      <c r="N34" s="16"/>
      <c r="O34" s="16"/>
      <c r="P34" s="16"/>
      <c r="Q34" s="15">
        <f t="shared" si="5"/>
        <v>0</v>
      </c>
      <c r="R34" s="14">
        <f>Q34*40</f>
        <v>0</v>
      </c>
      <c r="S34" s="16"/>
      <c r="T34" s="16" t="s">
        <v>65</v>
      </c>
      <c r="U34" s="16"/>
      <c r="V34" s="16" t="s">
        <v>65</v>
      </c>
      <c r="W34" s="16">
        <v>72</v>
      </c>
      <c r="X34" s="16"/>
      <c r="Y34" s="15">
        <f t="shared" si="6"/>
        <v>72</v>
      </c>
      <c r="Z34" s="14">
        <f>Y34*40</f>
        <v>2880</v>
      </c>
      <c r="AA34" s="16" t="s">
        <v>65</v>
      </c>
      <c r="AB34" s="16" t="s">
        <v>65</v>
      </c>
      <c r="AC34" s="16"/>
      <c r="AD34" s="16"/>
      <c r="AE34" s="16"/>
      <c r="AF34" s="16"/>
      <c r="AG34" s="16"/>
      <c r="AH34" s="15">
        <f t="shared" si="7"/>
        <v>0</v>
      </c>
      <c r="AI34" s="14">
        <f>AH34*40</f>
        <v>0</v>
      </c>
    </row>
    <row r="35" spans="2:39" x14ac:dyDescent="0.3">
      <c r="B35" s="42" t="s">
        <v>28</v>
      </c>
      <c r="C35" s="16">
        <v>1</v>
      </c>
      <c r="D35" s="16"/>
      <c r="E35" s="16"/>
      <c r="F35" s="16">
        <v>61</v>
      </c>
      <c r="G35" s="16">
        <v>12</v>
      </c>
      <c r="H35" s="16"/>
      <c r="I35" s="15">
        <f t="shared" si="4"/>
        <v>74</v>
      </c>
      <c r="J35" s="14">
        <f>I35*40</f>
        <v>2960</v>
      </c>
      <c r="K35" s="16"/>
      <c r="L35" s="16">
        <v>10</v>
      </c>
      <c r="M35" s="16"/>
      <c r="N35" s="16">
        <v>10</v>
      </c>
      <c r="O35" s="16"/>
      <c r="P35" s="16"/>
      <c r="Q35" s="15">
        <f t="shared" si="5"/>
        <v>20</v>
      </c>
      <c r="R35" s="14">
        <f>Q35*40</f>
        <v>800</v>
      </c>
      <c r="S35" s="16">
        <v>1</v>
      </c>
      <c r="T35" s="16">
        <v>10</v>
      </c>
      <c r="U35" s="16"/>
      <c r="V35" s="16">
        <v>17</v>
      </c>
      <c r="W35" s="16">
        <v>94</v>
      </c>
      <c r="X35" s="16"/>
      <c r="Y35" s="15">
        <f t="shared" si="6"/>
        <v>122</v>
      </c>
      <c r="Z35" s="14">
        <f>Y35*40</f>
        <v>4880</v>
      </c>
      <c r="AA35" s="16" t="s">
        <v>65</v>
      </c>
      <c r="AB35" s="16"/>
      <c r="AC35" s="16"/>
      <c r="AD35" s="16"/>
      <c r="AE35" s="16"/>
      <c r="AF35" s="16"/>
      <c r="AG35" s="16">
        <v>71</v>
      </c>
      <c r="AH35" s="15">
        <f t="shared" si="7"/>
        <v>71</v>
      </c>
      <c r="AI35" s="14">
        <f>AH35*40</f>
        <v>2840</v>
      </c>
    </row>
    <row r="36" spans="2:39" x14ac:dyDescent="0.3">
      <c r="B36" s="42" t="s">
        <v>27</v>
      </c>
      <c r="C36" s="16"/>
      <c r="D36" s="16"/>
      <c r="E36" s="16"/>
      <c r="F36" s="16"/>
      <c r="G36" s="16"/>
      <c r="H36" s="16"/>
      <c r="I36" s="15">
        <f t="shared" si="4"/>
        <v>0</v>
      </c>
      <c r="J36" s="14">
        <f>I36*76</f>
        <v>0</v>
      </c>
      <c r="K36" s="16"/>
      <c r="L36" s="16"/>
      <c r="M36" s="16"/>
      <c r="N36" s="16"/>
      <c r="O36" s="16">
        <v>36</v>
      </c>
      <c r="P36" s="16"/>
      <c r="Q36" s="15">
        <f t="shared" si="5"/>
        <v>36</v>
      </c>
      <c r="R36" s="14">
        <f>Q36*76</f>
        <v>2736</v>
      </c>
      <c r="S36" s="16"/>
      <c r="T36" s="16"/>
      <c r="U36" s="16"/>
      <c r="V36" s="16"/>
      <c r="W36" s="16">
        <v>41</v>
      </c>
      <c r="X36" s="16"/>
      <c r="Y36" s="15">
        <f t="shared" si="6"/>
        <v>41</v>
      </c>
      <c r="Z36" s="14">
        <f>Y36*76</f>
        <v>3116</v>
      </c>
      <c r="AA36" s="16" t="s">
        <v>65</v>
      </c>
      <c r="AB36" s="16" t="s">
        <v>65</v>
      </c>
      <c r="AC36" s="16"/>
      <c r="AD36" s="16"/>
      <c r="AE36" s="16"/>
      <c r="AF36" s="16"/>
      <c r="AG36" s="16"/>
      <c r="AH36" s="15">
        <f t="shared" si="7"/>
        <v>0</v>
      </c>
      <c r="AI36" s="14">
        <f>AH36*76</f>
        <v>0</v>
      </c>
    </row>
    <row r="37" spans="2:39" x14ac:dyDescent="0.3">
      <c r="B37" s="42" t="s">
        <v>26</v>
      </c>
      <c r="C37" s="16"/>
      <c r="D37" s="16"/>
      <c r="E37" s="16"/>
      <c r="F37" s="16"/>
      <c r="G37" s="16">
        <v>5</v>
      </c>
      <c r="H37" s="16"/>
      <c r="I37" s="15">
        <f t="shared" si="4"/>
        <v>5</v>
      </c>
      <c r="J37" s="14">
        <f>I37*90</f>
        <v>450</v>
      </c>
      <c r="K37" s="16"/>
      <c r="L37" s="16"/>
      <c r="M37" s="16"/>
      <c r="N37" s="16"/>
      <c r="O37" s="16"/>
      <c r="P37" s="16"/>
      <c r="Q37" s="15">
        <f t="shared" si="5"/>
        <v>0</v>
      </c>
      <c r="R37" s="14">
        <f>Q37*90</f>
        <v>0</v>
      </c>
      <c r="S37" s="16"/>
      <c r="T37" s="16"/>
      <c r="U37" s="16"/>
      <c r="V37" s="16"/>
      <c r="W37" s="16"/>
      <c r="X37" s="16"/>
      <c r="Y37" s="15">
        <f t="shared" si="6"/>
        <v>0</v>
      </c>
      <c r="Z37" s="14">
        <f>Y37*90</f>
        <v>0</v>
      </c>
      <c r="AA37" s="16" t="s">
        <v>65</v>
      </c>
      <c r="AB37" s="16" t="s">
        <v>65</v>
      </c>
      <c r="AC37" s="16"/>
      <c r="AD37" s="16"/>
      <c r="AE37" s="16"/>
      <c r="AF37" s="16"/>
      <c r="AG37" s="16"/>
      <c r="AH37" s="15">
        <f t="shared" si="7"/>
        <v>0</v>
      </c>
      <c r="AI37" s="14">
        <f>AH37*90</f>
        <v>0</v>
      </c>
    </row>
    <row r="38" spans="2:39" x14ac:dyDescent="0.3">
      <c r="B38" s="42" t="s">
        <v>25</v>
      </c>
      <c r="C38" s="16"/>
      <c r="D38" s="16"/>
      <c r="E38" s="16"/>
      <c r="F38" s="16"/>
      <c r="G38" s="16"/>
      <c r="H38" s="16"/>
      <c r="I38" s="15">
        <f t="shared" si="4"/>
        <v>0</v>
      </c>
      <c r="J38" s="14">
        <f>I38*91</f>
        <v>0</v>
      </c>
      <c r="K38" s="16"/>
      <c r="L38" s="16"/>
      <c r="M38" s="16"/>
      <c r="N38" s="16"/>
      <c r="O38" s="16"/>
      <c r="P38" s="16"/>
      <c r="Q38" s="15">
        <f t="shared" si="5"/>
        <v>0</v>
      </c>
      <c r="R38" s="14">
        <f>Q38*91</f>
        <v>0</v>
      </c>
      <c r="S38" s="16"/>
      <c r="T38" s="16"/>
      <c r="U38" s="16"/>
      <c r="V38" s="16"/>
      <c r="W38" s="16"/>
      <c r="X38" s="16"/>
      <c r="Y38" s="15">
        <f t="shared" si="6"/>
        <v>0</v>
      </c>
      <c r="Z38" s="14">
        <f>Y38*91</f>
        <v>0</v>
      </c>
      <c r="AA38" s="16" t="s">
        <v>65</v>
      </c>
      <c r="AB38" s="16" t="s">
        <v>65</v>
      </c>
      <c r="AC38" s="16" t="s">
        <v>65</v>
      </c>
      <c r="AD38" s="16" t="s">
        <v>65</v>
      </c>
      <c r="AE38" s="16"/>
      <c r="AF38" s="16"/>
      <c r="AG38" s="16"/>
      <c r="AH38" s="15">
        <f t="shared" si="7"/>
        <v>0</v>
      </c>
      <c r="AI38" s="14">
        <f>AH38*91</f>
        <v>0</v>
      </c>
    </row>
    <row r="39" spans="2:39" x14ac:dyDescent="0.3">
      <c r="B39" s="42" t="s">
        <v>24</v>
      </c>
      <c r="C39" s="16"/>
      <c r="D39" s="16"/>
      <c r="E39" s="16"/>
      <c r="F39" s="16"/>
      <c r="G39" s="16"/>
      <c r="H39" s="16"/>
      <c r="I39" s="15">
        <f t="shared" si="4"/>
        <v>0</v>
      </c>
      <c r="J39" s="14">
        <f>I39*90</f>
        <v>0</v>
      </c>
      <c r="K39" s="16"/>
      <c r="L39" s="16"/>
      <c r="M39" s="16"/>
      <c r="N39" s="16"/>
      <c r="O39" s="16"/>
      <c r="P39" s="16"/>
      <c r="Q39" s="15">
        <f t="shared" si="5"/>
        <v>0</v>
      </c>
      <c r="R39" s="14">
        <f>Q39*90</f>
        <v>0</v>
      </c>
      <c r="S39" s="16"/>
      <c r="T39" s="16"/>
      <c r="U39" s="16"/>
      <c r="V39" s="16"/>
      <c r="W39" s="16"/>
      <c r="X39" s="16"/>
      <c r="Y39" s="15">
        <f t="shared" si="6"/>
        <v>0</v>
      </c>
      <c r="Z39" s="14">
        <f>Y39*90</f>
        <v>0</v>
      </c>
      <c r="AA39" s="16" t="s">
        <v>65</v>
      </c>
      <c r="AB39" s="16" t="s">
        <v>65</v>
      </c>
      <c r="AC39" s="16" t="s">
        <v>65</v>
      </c>
      <c r="AD39" s="16" t="s">
        <v>65</v>
      </c>
      <c r="AE39" s="16"/>
      <c r="AF39" s="16"/>
      <c r="AG39" s="16"/>
      <c r="AH39" s="15">
        <f t="shared" si="7"/>
        <v>0</v>
      </c>
      <c r="AI39" s="14">
        <f>AH39*90</f>
        <v>0</v>
      </c>
    </row>
    <row r="40" spans="2:39" x14ac:dyDescent="0.3">
      <c r="B40" s="42" t="s">
        <v>23</v>
      </c>
      <c r="C40" s="16"/>
      <c r="D40" s="16"/>
      <c r="E40" s="16"/>
      <c r="F40" s="16"/>
      <c r="G40" s="16"/>
      <c r="H40" s="16"/>
      <c r="I40" s="15">
        <f t="shared" si="4"/>
        <v>0</v>
      </c>
      <c r="J40" s="14">
        <f>I40*76</f>
        <v>0</v>
      </c>
      <c r="K40" s="16"/>
      <c r="L40" s="16"/>
      <c r="M40" s="16"/>
      <c r="N40" s="16"/>
      <c r="O40" s="16">
        <v>17</v>
      </c>
      <c r="P40" s="16"/>
      <c r="Q40" s="15">
        <f t="shared" si="5"/>
        <v>17</v>
      </c>
      <c r="R40" s="14">
        <f>Q40*76</f>
        <v>1292</v>
      </c>
      <c r="S40" s="16"/>
      <c r="T40" s="16"/>
      <c r="U40" s="16"/>
      <c r="V40" s="16"/>
      <c r="W40" s="16"/>
      <c r="X40" s="16"/>
      <c r="Y40" s="15">
        <f t="shared" si="6"/>
        <v>0</v>
      </c>
      <c r="Z40" s="14">
        <f>Y40*76</f>
        <v>0</v>
      </c>
      <c r="AA40" s="16" t="s">
        <v>65</v>
      </c>
      <c r="AB40" s="16" t="s">
        <v>65</v>
      </c>
      <c r="AC40" s="16" t="s">
        <v>65</v>
      </c>
      <c r="AD40" s="16" t="s">
        <v>65</v>
      </c>
      <c r="AE40" s="16"/>
      <c r="AF40" s="16"/>
      <c r="AG40" s="16"/>
      <c r="AH40" s="15">
        <f t="shared" si="7"/>
        <v>0</v>
      </c>
      <c r="AI40" s="14">
        <f>AH40*76</f>
        <v>0</v>
      </c>
    </row>
    <row r="41" spans="2:39" x14ac:dyDescent="0.3">
      <c r="B41" s="42" t="s">
        <v>22</v>
      </c>
      <c r="C41" s="16"/>
      <c r="D41" s="16"/>
      <c r="E41" s="16"/>
      <c r="F41" s="16"/>
      <c r="G41" s="16">
        <v>12</v>
      </c>
      <c r="H41" s="16"/>
      <c r="I41" s="15">
        <f t="shared" si="4"/>
        <v>12</v>
      </c>
      <c r="J41" s="14">
        <f>I41*100</f>
        <v>1200</v>
      </c>
      <c r="K41" s="16"/>
      <c r="L41" s="16"/>
      <c r="M41" s="16"/>
      <c r="N41" s="16"/>
      <c r="O41" s="16"/>
      <c r="P41" s="16"/>
      <c r="Q41" s="15">
        <f t="shared" si="5"/>
        <v>0</v>
      </c>
      <c r="R41" s="14">
        <f>Q41*100</f>
        <v>0</v>
      </c>
      <c r="S41" s="16"/>
      <c r="T41" s="16"/>
      <c r="U41" s="16"/>
      <c r="V41" s="16"/>
      <c r="W41" s="16"/>
      <c r="X41" s="16"/>
      <c r="Y41" s="15">
        <f t="shared" si="6"/>
        <v>0</v>
      </c>
      <c r="Z41" s="14">
        <f>Y41*100</f>
        <v>0</v>
      </c>
      <c r="AA41" s="16" t="s">
        <v>65</v>
      </c>
      <c r="AB41" s="16" t="s">
        <v>65</v>
      </c>
      <c r="AC41" s="16" t="s">
        <v>65</v>
      </c>
      <c r="AD41" s="16" t="s">
        <v>65</v>
      </c>
      <c r="AE41" s="16"/>
      <c r="AF41" s="16"/>
      <c r="AG41" s="16"/>
      <c r="AH41" s="15">
        <f t="shared" si="7"/>
        <v>0</v>
      </c>
      <c r="AI41" s="14">
        <f>AH41*100</f>
        <v>0</v>
      </c>
    </row>
    <row r="42" spans="2:39" x14ac:dyDescent="0.3">
      <c r="B42" s="42" t="s">
        <v>21</v>
      </c>
      <c r="C42" s="16"/>
      <c r="D42" s="16"/>
      <c r="E42" s="16"/>
      <c r="F42" s="16"/>
      <c r="G42" s="16"/>
      <c r="H42" s="16"/>
      <c r="I42" s="15">
        <f t="shared" si="4"/>
        <v>0</v>
      </c>
      <c r="J42" s="14">
        <f>I42*100</f>
        <v>0</v>
      </c>
      <c r="K42" s="16"/>
      <c r="L42" s="16"/>
      <c r="M42" s="16"/>
      <c r="N42" s="16"/>
      <c r="O42" s="16"/>
      <c r="P42" s="16"/>
      <c r="Q42" s="15">
        <f t="shared" si="5"/>
        <v>0</v>
      </c>
      <c r="R42" s="14">
        <f>Q42*100</f>
        <v>0</v>
      </c>
      <c r="S42" s="16"/>
      <c r="T42" s="16"/>
      <c r="U42" s="16"/>
      <c r="V42" s="16"/>
      <c r="W42" s="16"/>
      <c r="X42" s="16"/>
      <c r="Y42" s="15">
        <f t="shared" si="6"/>
        <v>0</v>
      </c>
      <c r="Z42" s="14">
        <f>Y42*100</f>
        <v>0</v>
      </c>
      <c r="AA42" s="16" t="s">
        <v>65</v>
      </c>
      <c r="AB42" s="16" t="s">
        <v>65</v>
      </c>
      <c r="AC42" s="16" t="s">
        <v>65</v>
      </c>
      <c r="AD42" s="16" t="s">
        <v>65</v>
      </c>
      <c r="AE42" s="16"/>
      <c r="AF42" s="16"/>
      <c r="AG42" s="16"/>
      <c r="AH42" s="15">
        <f t="shared" si="7"/>
        <v>0</v>
      </c>
      <c r="AI42" s="14">
        <f>AH42*100</f>
        <v>0</v>
      </c>
    </row>
    <row r="43" spans="2:39" x14ac:dyDescent="0.3">
      <c r="B43" s="42" t="s">
        <v>20</v>
      </c>
      <c r="C43" s="16"/>
      <c r="D43" s="16"/>
      <c r="E43" s="16"/>
      <c r="F43" s="16"/>
      <c r="G43" s="16"/>
      <c r="H43" s="16"/>
      <c r="I43" s="15">
        <f t="shared" si="4"/>
        <v>0</v>
      </c>
      <c r="J43" s="14">
        <f>I43*78</f>
        <v>0</v>
      </c>
      <c r="K43" s="16"/>
      <c r="L43" s="16"/>
      <c r="M43" s="16"/>
      <c r="N43" s="16"/>
      <c r="O43" s="16"/>
      <c r="P43" s="16"/>
      <c r="Q43" s="15">
        <f t="shared" si="5"/>
        <v>0</v>
      </c>
      <c r="R43" s="14">
        <f>Q43*78</f>
        <v>0</v>
      </c>
      <c r="S43" s="16"/>
      <c r="T43" s="16"/>
      <c r="U43" s="16"/>
      <c r="V43" s="16"/>
      <c r="W43" s="16">
        <v>21</v>
      </c>
      <c r="X43" s="16"/>
      <c r="Y43" s="15">
        <f t="shared" si="6"/>
        <v>21</v>
      </c>
      <c r="Z43" s="14">
        <f>Y43*78</f>
        <v>1638</v>
      </c>
      <c r="AA43" s="16" t="s">
        <v>65</v>
      </c>
      <c r="AB43" s="16" t="s">
        <v>65</v>
      </c>
      <c r="AC43" s="16" t="s">
        <v>65</v>
      </c>
      <c r="AD43" s="16" t="s">
        <v>65</v>
      </c>
      <c r="AE43" s="16"/>
      <c r="AF43" s="16"/>
      <c r="AG43" s="16"/>
      <c r="AH43" s="15">
        <f t="shared" si="7"/>
        <v>0</v>
      </c>
      <c r="AI43" s="14">
        <f>AH43*78</f>
        <v>0</v>
      </c>
    </row>
    <row r="44" spans="2:39" ht="15.6" x14ac:dyDescent="0.3">
      <c r="B44" s="17" t="s">
        <v>19</v>
      </c>
      <c r="C44" s="16">
        <v>40</v>
      </c>
      <c r="D44" s="16"/>
      <c r="E44" s="16">
        <v>15</v>
      </c>
      <c r="F44" s="16"/>
      <c r="G44" s="16">
        <v>135</v>
      </c>
      <c r="H44" s="16"/>
      <c r="I44" s="15">
        <f t="shared" si="4"/>
        <v>190</v>
      </c>
      <c r="J44" s="14">
        <f>I44*94</f>
        <v>17860</v>
      </c>
      <c r="K44" s="16"/>
      <c r="L44" s="16">
        <v>58</v>
      </c>
      <c r="M44" s="16"/>
      <c r="N44" s="16">
        <v>60</v>
      </c>
      <c r="O44" s="16"/>
      <c r="P44" s="16"/>
      <c r="Q44" s="15">
        <f t="shared" si="5"/>
        <v>118</v>
      </c>
      <c r="R44" s="14">
        <f>Q44*94</f>
        <v>11092</v>
      </c>
      <c r="S44" s="16">
        <v>40</v>
      </c>
      <c r="T44" s="16"/>
      <c r="U44" s="16"/>
      <c r="V44" s="16">
        <v>30</v>
      </c>
      <c r="W44" s="16">
        <v>71</v>
      </c>
      <c r="X44" s="16"/>
      <c r="Y44" s="15">
        <f>SUM(S44:X44)</f>
        <v>141</v>
      </c>
      <c r="Z44" s="14">
        <f>Y44*93</f>
        <v>13113</v>
      </c>
      <c r="AA44" s="16">
        <v>14</v>
      </c>
      <c r="AB44" s="16">
        <v>90</v>
      </c>
      <c r="AC44" s="16"/>
      <c r="AD44" s="16">
        <v>36</v>
      </c>
      <c r="AE44" s="16"/>
      <c r="AF44" s="16"/>
      <c r="AG44" s="16"/>
      <c r="AH44" s="15">
        <f t="shared" si="7"/>
        <v>140</v>
      </c>
      <c r="AI44" s="14">
        <f>AH44*93</f>
        <v>13020</v>
      </c>
      <c r="AK44" s="41"/>
      <c r="AL44" s="40"/>
    </row>
    <row r="45" spans="2:39" x14ac:dyDescent="0.3">
      <c r="B45" s="17" t="s">
        <v>18</v>
      </c>
      <c r="C45" s="16"/>
      <c r="D45" s="16"/>
      <c r="E45" s="16">
        <v>20</v>
      </c>
      <c r="F45" s="16"/>
      <c r="G45" s="16"/>
      <c r="H45" s="16"/>
      <c r="I45" s="15">
        <f t="shared" si="4"/>
        <v>20</v>
      </c>
      <c r="J45" s="14">
        <f>I45*96</f>
        <v>1920</v>
      </c>
      <c r="K45" s="16"/>
      <c r="L45" s="16"/>
      <c r="M45" s="16"/>
      <c r="N45" s="16"/>
      <c r="O45" s="16"/>
      <c r="P45" s="16"/>
      <c r="Q45" s="15">
        <f t="shared" si="5"/>
        <v>0</v>
      </c>
      <c r="R45" s="14">
        <f>Q45*96</f>
        <v>0</v>
      </c>
      <c r="S45" s="16"/>
      <c r="T45" s="16"/>
      <c r="U45" s="16"/>
      <c r="V45" s="16"/>
      <c r="W45" s="16"/>
      <c r="X45" s="16">
        <v>36</v>
      </c>
      <c r="Y45" s="15">
        <f>SUM(S45:X45)</f>
        <v>36</v>
      </c>
      <c r="Z45" s="14">
        <f>Y45*95</f>
        <v>3420</v>
      </c>
      <c r="AA45" s="16"/>
      <c r="AB45" s="16"/>
      <c r="AC45" s="16"/>
      <c r="AD45" s="16"/>
      <c r="AE45" s="16"/>
      <c r="AF45" s="16">
        <v>20</v>
      </c>
      <c r="AG45" s="16">
        <v>43</v>
      </c>
      <c r="AH45" s="15">
        <f t="shared" si="7"/>
        <v>63</v>
      </c>
      <c r="AI45" s="14">
        <f>AH45*95</f>
        <v>5985</v>
      </c>
    </row>
    <row r="46" spans="2:39" x14ac:dyDescent="0.3">
      <c r="B46" s="17" t="s">
        <v>17</v>
      </c>
      <c r="C46" s="16">
        <v>9</v>
      </c>
      <c r="D46" s="16">
        <v>23</v>
      </c>
      <c r="E46" s="16"/>
      <c r="F46" s="16">
        <v>60</v>
      </c>
      <c r="G46" s="16"/>
      <c r="H46" s="16"/>
      <c r="I46" s="15">
        <f t="shared" si="4"/>
        <v>92</v>
      </c>
      <c r="J46" s="14">
        <f>I46*94</f>
        <v>8648</v>
      </c>
      <c r="K46" s="16">
        <v>2</v>
      </c>
      <c r="L46" s="16">
        <v>9</v>
      </c>
      <c r="M46" s="16">
        <v>20</v>
      </c>
      <c r="N46" s="16" t="s">
        <v>65</v>
      </c>
      <c r="O46" s="16"/>
      <c r="P46" s="16"/>
      <c r="Q46" s="15">
        <f t="shared" si="5"/>
        <v>31</v>
      </c>
      <c r="R46" s="14">
        <f>Q46*94</f>
        <v>2914</v>
      </c>
      <c r="S46" s="16">
        <v>41</v>
      </c>
      <c r="T46" s="16">
        <v>5</v>
      </c>
      <c r="U46" s="16">
        <v>6</v>
      </c>
      <c r="V46" s="16"/>
      <c r="W46" s="16"/>
      <c r="X46" s="16">
        <v>25</v>
      </c>
      <c r="Y46" s="15">
        <f>SUM(S46:X46)</f>
        <v>77</v>
      </c>
      <c r="Z46" s="14">
        <f>Y46*93</f>
        <v>7161</v>
      </c>
      <c r="AA46" s="16">
        <v>27</v>
      </c>
      <c r="AB46" s="16"/>
      <c r="AC46" s="16">
        <v>10</v>
      </c>
      <c r="AD46" s="16"/>
      <c r="AE46" s="16">
        <v>15</v>
      </c>
      <c r="AF46" s="16"/>
      <c r="AG46" s="16">
        <v>8</v>
      </c>
      <c r="AH46" s="15">
        <f t="shared" si="7"/>
        <v>60</v>
      </c>
      <c r="AI46" s="14">
        <f>AH46*93</f>
        <v>5580</v>
      </c>
    </row>
    <row r="47" spans="2:39" x14ac:dyDescent="0.3">
      <c r="B47" s="17" t="s">
        <v>14</v>
      </c>
      <c r="C47" s="16">
        <v>5</v>
      </c>
      <c r="D47" s="16"/>
      <c r="E47" s="16">
        <v>50</v>
      </c>
      <c r="F47" s="16">
        <v>53</v>
      </c>
      <c r="G47" s="16">
        <v>30</v>
      </c>
      <c r="H47" s="16"/>
      <c r="I47" s="15">
        <f t="shared" si="4"/>
        <v>138</v>
      </c>
      <c r="J47" s="14">
        <f>I47*56</f>
        <v>7728</v>
      </c>
      <c r="K47" s="16">
        <v>40</v>
      </c>
      <c r="L47" s="16">
        <v>144</v>
      </c>
      <c r="M47" s="16">
        <v>20</v>
      </c>
      <c r="N47" s="16">
        <v>52</v>
      </c>
      <c r="O47" s="16"/>
      <c r="P47" s="16">
        <v>20</v>
      </c>
      <c r="Q47" s="15">
        <f t="shared" si="5"/>
        <v>276</v>
      </c>
      <c r="R47" s="14">
        <f>Q47*56</f>
        <v>15456</v>
      </c>
      <c r="S47" s="16">
        <v>13</v>
      </c>
      <c r="T47" s="16">
        <v>7</v>
      </c>
      <c r="U47" s="16">
        <v>38</v>
      </c>
      <c r="V47" s="16">
        <v>80</v>
      </c>
      <c r="W47" s="16">
        <v>43</v>
      </c>
      <c r="X47" s="16">
        <v>50</v>
      </c>
      <c r="Y47" s="15">
        <f>SUM(S47:X47)</f>
        <v>231</v>
      </c>
      <c r="Z47" s="14">
        <f>Y47*56</f>
        <v>12936</v>
      </c>
      <c r="AA47" s="16">
        <v>37</v>
      </c>
      <c r="AB47" s="16">
        <v>34</v>
      </c>
      <c r="AC47" s="16">
        <v>4</v>
      </c>
      <c r="AD47" s="16">
        <v>33</v>
      </c>
      <c r="AE47" s="16">
        <v>30</v>
      </c>
      <c r="AF47" s="16">
        <v>15</v>
      </c>
      <c r="AG47" s="16">
        <v>15</v>
      </c>
      <c r="AH47" s="15">
        <f t="shared" si="7"/>
        <v>168</v>
      </c>
      <c r="AI47" s="14">
        <f>AH47*56</f>
        <v>9408</v>
      </c>
    </row>
    <row r="48" spans="2:39" ht="15.6" x14ac:dyDescent="0.3">
      <c r="C48" s="10"/>
      <c r="D48" s="10"/>
      <c r="E48" s="10"/>
      <c r="F48" s="10"/>
      <c r="G48" s="10"/>
      <c r="H48" s="10"/>
      <c r="I48" s="39">
        <f>SUM(I20:I43)</f>
        <v>674</v>
      </c>
      <c r="J48" s="38">
        <f>SUM(J20:J43)</f>
        <v>51759</v>
      </c>
      <c r="K48" s="10"/>
      <c r="L48" s="10"/>
      <c r="M48" s="10"/>
      <c r="N48" s="10"/>
      <c r="O48" s="10"/>
      <c r="P48" s="10"/>
      <c r="Q48" s="39">
        <f>SUM(Q20:Q43)</f>
        <v>351</v>
      </c>
      <c r="R48" s="38">
        <f>SUM(R20:R43)</f>
        <v>27634</v>
      </c>
      <c r="S48" s="10"/>
      <c r="T48" s="10"/>
      <c r="U48" s="10"/>
      <c r="V48" s="10"/>
      <c r="W48" s="10"/>
      <c r="X48" s="10"/>
      <c r="Y48" s="39">
        <f>SUM(Y20:Y43)</f>
        <v>376</v>
      </c>
      <c r="Z48" s="38">
        <f>SUM(Z20:Z43)</f>
        <v>22491</v>
      </c>
      <c r="AA48" s="10"/>
      <c r="AB48" s="10"/>
      <c r="AC48" s="10"/>
      <c r="AD48" s="10"/>
      <c r="AE48" s="10"/>
      <c r="AF48" s="10"/>
      <c r="AG48" s="10"/>
      <c r="AH48" s="39">
        <f>SUM(AH20:AH43)</f>
        <v>271</v>
      </c>
      <c r="AI48" s="38">
        <f>SUM(AI20:AI43)</f>
        <v>20553</v>
      </c>
      <c r="AK48" s="35" t="s">
        <v>15</v>
      </c>
      <c r="AL48" s="37">
        <f>I51+Q51+Y51+AH51</f>
        <v>968</v>
      </c>
      <c r="AM48" s="30">
        <f>AL49/AL48</f>
        <v>93.711776859504127</v>
      </c>
    </row>
    <row r="49" spans="2:42" ht="15.6" x14ac:dyDescent="0.3">
      <c r="C49" s="32"/>
      <c r="D49" s="32"/>
      <c r="E49" s="32"/>
      <c r="F49" s="32"/>
      <c r="G49" s="32"/>
      <c r="H49" s="32"/>
      <c r="I49" s="36"/>
      <c r="J49" s="11"/>
      <c r="K49" s="32"/>
      <c r="L49" s="32"/>
      <c r="M49" s="32"/>
      <c r="N49" s="32"/>
      <c r="O49" s="32"/>
      <c r="P49" s="32"/>
      <c r="Q49" s="36"/>
      <c r="R49" s="11"/>
      <c r="S49" s="32"/>
      <c r="T49" s="32"/>
      <c r="U49" s="32"/>
      <c r="V49" s="32"/>
      <c r="W49" s="32"/>
      <c r="X49" s="32"/>
      <c r="Y49" s="36"/>
      <c r="Z49" s="11"/>
      <c r="AA49" s="32"/>
      <c r="AB49" s="32"/>
      <c r="AC49" s="32"/>
      <c r="AD49" s="32"/>
      <c r="AE49" s="32"/>
      <c r="AF49" s="32"/>
      <c r="AG49" s="32"/>
      <c r="AH49" s="36"/>
      <c r="AI49" s="11"/>
      <c r="AK49" s="35" t="s">
        <v>3</v>
      </c>
      <c r="AL49" s="34">
        <f>R51+J51+Z51+AI51</f>
        <v>90713</v>
      </c>
    </row>
    <row r="50" spans="2:42" ht="15.6" x14ac:dyDescent="0.3">
      <c r="B50" s="29" t="s">
        <v>13</v>
      </c>
      <c r="C50" s="32"/>
      <c r="D50" s="32"/>
      <c r="E50" s="32"/>
      <c r="F50" s="32"/>
      <c r="G50" s="32"/>
      <c r="H50" s="32"/>
      <c r="I50" s="4">
        <f>I48+I19</f>
        <v>2089</v>
      </c>
      <c r="J50" s="28">
        <f>J48+J19</f>
        <v>154317</v>
      </c>
      <c r="K50" s="32"/>
      <c r="L50" s="32"/>
      <c r="M50" s="32"/>
      <c r="N50" s="32"/>
      <c r="O50" s="32"/>
      <c r="P50" s="32"/>
      <c r="Q50" s="4">
        <f>Q48+Q19</f>
        <v>1721</v>
      </c>
      <c r="R50" s="28">
        <f>R48+R19</f>
        <v>124815</v>
      </c>
      <c r="S50" s="32"/>
      <c r="T50" s="32"/>
      <c r="U50" s="32"/>
      <c r="V50" s="32"/>
      <c r="W50" s="32"/>
      <c r="X50" s="32"/>
      <c r="Y50" s="4">
        <f>Y48+Y19</f>
        <v>1515</v>
      </c>
      <c r="Z50" s="28">
        <f>Z48+Z19</f>
        <v>106606</v>
      </c>
      <c r="AA50" s="11">
        <f>Z50/Y50</f>
        <v>70.366996699669969</v>
      </c>
      <c r="AB50" s="32"/>
      <c r="AC50" s="32"/>
      <c r="AE50" s="32"/>
      <c r="AF50" s="11">
        <f>AI50/AH50</f>
        <v>72.889518413597727</v>
      </c>
      <c r="AG50" s="11"/>
      <c r="AH50" s="4">
        <f>AH48+AH19</f>
        <v>1412</v>
      </c>
      <c r="AI50" s="28">
        <f>AI48+AI19</f>
        <v>102920</v>
      </c>
    </row>
    <row r="51" spans="2:42" ht="15.6" x14ac:dyDescent="0.3">
      <c r="B51" s="29" t="s">
        <v>15</v>
      </c>
      <c r="C51" s="32"/>
      <c r="D51" s="32"/>
      <c r="E51" s="32"/>
      <c r="F51" s="32"/>
      <c r="G51" s="32"/>
      <c r="H51" s="32"/>
      <c r="I51" s="4">
        <f>SUM(I44:I46)</f>
        <v>302</v>
      </c>
      <c r="J51" s="28">
        <f>SUM(J44:J46)</f>
        <v>28428</v>
      </c>
      <c r="K51" s="32"/>
      <c r="L51" s="32"/>
      <c r="M51" s="32"/>
      <c r="N51" s="32"/>
      <c r="O51" s="32"/>
      <c r="P51" s="32"/>
      <c r="Q51" s="4">
        <f>SUM(Q44:Q46)</f>
        <v>149</v>
      </c>
      <c r="R51" s="28">
        <f>SUM(R44:R46)</f>
        <v>14006</v>
      </c>
      <c r="S51" s="32"/>
      <c r="T51" s="32"/>
      <c r="U51" s="32"/>
      <c r="V51" s="32"/>
      <c r="W51" s="32"/>
      <c r="X51" s="32"/>
      <c r="Y51" s="4">
        <f>SUM(Y44:Y46)</f>
        <v>254</v>
      </c>
      <c r="Z51" s="28">
        <f>SUM(Z44:Z46)</f>
        <v>23694</v>
      </c>
      <c r="AA51" s="32"/>
      <c r="AB51" s="32"/>
      <c r="AC51" s="32"/>
      <c r="AD51" s="32"/>
      <c r="AE51" s="32"/>
      <c r="AF51" s="32"/>
      <c r="AG51" s="32"/>
      <c r="AH51" s="4">
        <f>SUM(AH44:AH46)</f>
        <v>263</v>
      </c>
      <c r="AI51" s="28">
        <f>SUM(AI44:AI46)</f>
        <v>24585</v>
      </c>
      <c r="AK51" s="27" t="s">
        <v>14</v>
      </c>
      <c r="AL51" s="31">
        <f>Q52+I52+Y52+AH52</f>
        <v>813</v>
      </c>
      <c r="AM51" s="30">
        <f>AL52/AL51</f>
        <v>56</v>
      </c>
    </row>
    <row r="52" spans="2:42" ht="15.6" x14ac:dyDescent="0.3">
      <c r="B52" s="29" t="s">
        <v>14</v>
      </c>
      <c r="I52" s="4">
        <f>I47</f>
        <v>138</v>
      </c>
      <c r="J52" s="28">
        <f>J47</f>
        <v>7728</v>
      </c>
      <c r="Q52" s="4">
        <f>Q47</f>
        <v>276</v>
      </c>
      <c r="R52" s="28">
        <f>R47</f>
        <v>15456</v>
      </c>
      <c r="S52" s="32"/>
      <c r="Y52" s="4">
        <f>Y47</f>
        <v>231</v>
      </c>
      <c r="Z52" s="28">
        <f>Z47</f>
        <v>12936</v>
      </c>
      <c r="AH52" s="4">
        <f>AH47</f>
        <v>168</v>
      </c>
      <c r="AI52" s="28">
        <f>AI47</f>
        <v>9408</v>
      </c>
      <c r="AK52" s="27" t="s">
        <v>3</v>
      </c>
      <c r="AL52" s="26">
        <f>R52+J52+Z52+AI52</f>
        <v>45528</v>
      </c>
    </row>
    <row r="53" spans="2:42" ht="15.6" x14ac:dyDescent="0.3">
      <c r="R53">
        <f>SUM(P53:Q53)</f>
        <v>0</v>
      </c>
      <c r="S53" s="32">
        <f>R53*50</f>
        <v>0</v>
      </c>
    </row>
    <row r="55" spans="2:42" s="22" customFormat="1" ht="13.8" customHeight="1" x14ac:dyDescent="0.3">
      <c r="B55" s="25" t="s">
        <v>13</v>
      </c>
      <c r="C55" s="24">
        <v>45782</v>
      </c>
      <c r="D55" s="24">
        <v>45783</v>
      </c>
      <c r="E55" s="24">
        <v>45784</v>
      </c>
      <c r="F55" s="24">
        <v>45785</v>
      </c>
      <c r="G55" s="24">
        <v>45786</v>
      </c>
      <c r="H55" s="24">
        <v>45787</v>
      </c>
      <c r="I55" s="23" t="s">
        <v>12</v>
      </c>
      <c r="J55" s="23" t="s">
        <v>11</v>
      </c>
      <c r="K55" s="24">
        <v>45817</v>
      </c>
      <c r="L55" s="24">
        <v>45818</v>
      </c>
      <c r="M55" s="24">
        <v>45819</v>
      </c>
      <c r="N55" s="24">
        <v>45820</v>
      </c>
      <c r="O55" s="24">
        <v>45821</v>
      </c>
      <c r="P55" s="24">
        <v>45822</v>
      </c>
      <c r="Q55" s="23" t="s">
        <v>12</v>
      </c>
      <c r="R55" s="23" t="s">
        <v>11</v>
      </c>
      <c r="S55" s="24">
        <v>45824</v>
      </c>
      <c r="T55" s="24">
        <v>45825</v>
      </c>
      <c r="U55" s="24">
        <v>45826</v>
      </c>
      <c r="V55" s="24">
        <v>45827</v>
      </c>
      <c r="W55" s="24">
        <v>45828</v>
      </c>
      <c r="X55" s="24">
        <v>45829</v>
      </c>
      <c r="Y55" s="23" t="s">
        <v>12</v>
      </c>
      <c r="Z55" s="23" t="s">
        <v>11</v>
      </c>
      <c r="AA55" s="24">
        <v>45831</v>
      </c>
      <c r="AB55" s="24">
        <v>45832</v>
      </c>
      <c r="AC55" s="24">
        <v>45833</v>
      </c>
      <c r="AD55" s="24">
        <v>45834</v>
      </c>
      <c r="AE55" s="24">
        <v>45835</v>
      </c>
      <c r="AF55" s="24">
        <v>45836</v>
      </c>
      <c r="AG55" s="24">
        <v>45838</v>
      </c>
      <c r="AH55" s="23" t="s">
        <v>12</v>
      </c>
      <c r="AI55" s="23" t="s">
        <v>11</v>
      </c>
    </row>
    <row r="56" spans="2:42" ht="15" customHeight="1" x14ac:dyDescent="0.3">
      <c r="B56" s="17" t="s">
        <v>10</v>
      </c>
      <c r="C56" s="16">
        <v>149</v>
      </c>
      <c r="D56" s="16">
        <v>154</v>
      </c>
      <c r="E56" s="16">
        <v>375</v>
      </c>
      <c r="F56" s="16">
        <v>140</v>
      </c>
      <c r="G56" s="16">
        <v>250</v>
      </c>
      <c r="H56" s="16" t="s">
        <v>65</v>
      </c>
      <c r="I56" s="15">
        <f t="shared" ref="I56:I61" si="8">SUM(C56:H56)</f>
        <v>1068</v>
      </c>
      <c r="J56" s="14">
        <f>I56*96</f>
        <v>102528</v>
      </c>
      <c r="K56" s="16">
        <v>155</v>
      </c>
      <c r="L56" s="16">
        <v>289</v>
      </c>
      <c r="M56" s="16">
        <v>220</v>
      </c>
      <c r="N56" s="16">
        <v>162</v>
      </c>
      <c r="O56" s="16"/>
      <c r="P56" s="16">
        <v>205</v>
      </c>
      <c r="Q56" s="15">
        <f t="shared" ref="Q56:Q61" si="9">SUM(K56:P56)</f>
        <v>1031</v>
      </c>
      <c r="R56" s="14">
        <f>Q56*96</f>
        <v>98976</v>
      </c>
      <c r="S56" s="16">
        <v>338</v>
      </c>
      <c r="T56" s="16">
        <v>377</v>
      </c>
      <c r="U56" s="16">
        <v>51</v>
      </c>
      <c r="V56" s="16">
        <v>100</v>
      </c>
      <c r="W56" s="16">
        <v>230</v>
      </c>
      <c r="X56" s="16">
        <v>299</v>
      </c>
      <c r="Y56" s="15">
        <f t="shared" ref="Y56:Y61" si="10">SUM(S56:X56)</f>
        <v>1395</v>
      </c>
      <c r="Z56" s="14">
        <f>Y56*95</f>
        <v>132525</v>
      </c>
      <c r="AA56" s="16">
        <v>157</v>
      </c>
      <c r="AB56" s="16">
        <v>106</v>
      </c>
      <c r="AC56" s="16">
        <v>80</v>
      </c>
      <c r="AD56" s="16">
        <v>175</v>
      </c>
      <c r="AE56" s="16">
        <v>140</v>
      </c>
      <c r="AF56" s="16">
        <v>135</v>
      </c>
      <c r="AG56" s="16">
        <v>204</v>
      </c>
      <c r="AH56" s="15">
        <f t="shared" ref="AH56:AH61" si="11">SUM(AA56:AG56)</f>
        <v>997</v>
      </c>
      <c r="AI56" s="14">
        <f>AH56*95</f>
        <v>94715</v>
      </c>
    </row>
    <row r="57" spans="2:42" x14ac:dyDescent="0.3">
      <c r="B57" s="17" t="s">
        <v>9</v>
      </c>
      <c r="C57" s="16">
        <v>151</v>
      </c>
      <c r="D57" s="16">
        <v>108</v>
      </c>
      <c r="E57" s="16">
        <v>430</v>
      </c>
      <c r="F57" s="16">
        <v>175</v>
      </c>
      <c r="G57" s="16">
        <v>290</v>
      </c>
      <c r="H57" s="16" t="s">
        <v>65</v>
      </c>
      <c r="I57" s="15">
        <f t="shared" si="8"/>
        <v>1154</v>
      </c>
      <c r="J57" s="14">
        <f>I57*94</f>
        <v>108476</v>
      </c>
      <c r="K57" s="16">
        <v>183</v>
      </c>
      <c r="L57" s="16">
        <v>260</v>
      </c>
      <c r="M57" s="16">
        <v>240</v>
      </c>
      <c r="N57" s="16">
        <v>140</v>
      </c>
      <c r="O57" s="16"/>
      <c r="P57" s="16">
        <v>125</v>
      </c>
      <c r="Q57" s="15">
        <f t="shared" si="9"/>
        <v>948</v>
      </c>
      <c r="R57" s="14">
        <f>Q57*94</f>
        <v>89112</v>
      </c>
      <c r="S57" s="16">
        <v>364</v>
      </c>
      <c r="T57" s="16">
        <v>272</v>
      </c>
      <c r="U57" s="16">
        <v>54</v>
      </c>
      <c r="V57" s="16">
        <v>130</v>
      </c>
      <c r="W57" s="16">
        <v>310</v>
      </c>
      <c r="X57" s="16">
        <v>325</v>
      </c>
      <c r="Y57" s="15">
        <f t="shared" si="10"/>
        <v>1455</v>
      </c>
      <c r="Z57" s="14">
        <f>Y57*93</f>
        <v>135315</v>
      </c>
      <c r="AA57" s="16">
        <v>227</v>
      </c>
      <c r="AB57" s="16">
        <v>201</v>
      </c>
      <c r="AC57" s="16">
        <v>125</v>
      </c>
      <c r="AD57" s="16">
        <v>195</v>
      </c>
      <c r="AE57" s="16">
        <v>80</v>
      </c>
      <c r="AF57" s="16">
        <v>165</v>
      </c>
      <c r="AG57" s="16">
        <v>208</v>
      </c>
      <c r="AH57" s="15">
        <f t="shared" si="11"/>
        <v>1201</v>
      </c>
      <c r="AI57" s="14">
        <f>AH57*93</f>
        <v>111693</v>
      </c>
    </row>
    <row r="58" spans="2:42" ht="15.6" x14ac:dyDescent="0.3">
      <c r="B58" s="17" t="s">
        <v>8</v>
      </c>
      <c r="C58" s="16">
        <v>32</v>
      </c>
      <c r="D58" s="16">
        <v>144</v>
      </c>
      <c r="E58" s="16">
        <v>45</v>
      </c>
      <c r="F58" s="16">
        <v>31</v>
      </c>
      <c r="G58" s="16">
        <v>85</v>
      </c>
      <c r="H58" s="16" t="s">
        <v>65</v>
      </c>
      <c r="I58" s="15">
        <f t="shared" si="8"/>
        <v>337</v>
      </c>
      <c r="J58" s="14">
        <f>I58*96</f>
        <v>32352</v>
      </c>
      <c r="K58" s="16">
        <v>24</v>
      </c>
      <c r="L58" s="16">
        <v>32</v>
      </c>
      <c r="M58" s="16">
        <v>30</v>
      </c>
      <c r="N58" s="16">
        <v>58</v>
      </c>
      <c r="O58" s="16"/>
      <c r="P58" s="16">
        <v>79</v>
      </c>
      <c r="Q58" s="15">
        <f t="shared" si="9"/>
        <v>223</v>
      </c>
      <c r="R58" s="14">
        <f>Q58*96</f>
        <v>21408</v>
      </c>
      <c r="S58" s="16">
        <v>34</v>
      </c>
      <c r="T58" s="16">
        <v>32</v>
      </c>
      <c r="U58" s="16">
        <v>13</v>
      </c>
      <c r="V58" s="16">
        <v>30</v>
      </c>
      <c r="W58" s="16">
        <v>60</v>
      </c>
      <c r="X58" s="16">
        <v>60</v>
      </c>
      <c r="Y58" s="15">
        <f t="shared" si="10"/>
        <v>229</v>
      </c>
      <c r="Z58" s="14">
        <f>Y58*95</f>
        <v>21755</v>
      </c>
      <c r="AA58" s="16">
        <v>36</v>
      </c>
      <c r="AB58" s="16">
        <v>27</v>
      </c>
      <c r="AC58" s="16">
        <v>40</v>
      </c>
      <c r="AD58" s="16"/>
      <c r="AE58" s="16">
        <v>40</v>
      </c>
      <c r="AF58" s="16">
        <v>46</v>
      </c>
      <c r="AG58" s="16">
        <v>41</v>
      </c>
      <c r="AH58" s="15">
        <f t="shared" si="11"/>
        <v>230</v>
      </c>
      <c r="AI58" s="14">
        <f>AH58*95</f>
        <v>21850</v>
      </c>
      <c r="AK58" s="19" t="s">
        <v>7</v>
      </c>
      <c r="AL58" s="21">
        <f>I64+Q64+Y64+AH64</f>
        <v>10268</v>
      </c>
      <c r="AM58" s="11">
        <f>AL59/AL58</f>
        <v>94.536910790806388</v>
      </c>
      <c r="AP58">
        <f>ABRIL!AO58-JUNIO!AL58</f>
        <v>161</v>
      </c>
    </row>
    <row r="59" spans="2:42" ht="15.6" x14ac:dyDescent="0.3">
      <c r="B59" s="17" t="s">
        <v>6</v>
      </c>
      <c r="C59" s="16">
        <v>8.5</v>
      </c>
      <c r="D59" s="16">
        <v>50</v>
      </c>
      <c r="E59" s="16"/>
      <c r="F59" s="16">
        <v>5</v>
      </c>
      <c r="G59" s="16"/>
      <c r="H59" s="16" t="s">
        <v>65</v>
      </c>
      <c r="I59" s="15">
        <f t="shared" si="8"/>
        <v>63.5</v>
      </c>
      <c r="J59" s="14">
        <f>I59*80</f>
        <v>5080</v>
      </c>
      <c r="K59" s="16">
        <v>51</v>
      </c>
      <c r="L59" s="16">
        <v>3</v>
      </c>
      <c r="M59" s="16"/>
      <c r="N59" s="16">
        <v>6</v>
      </c>
      <c r="O59" s="16"/>
      <c r="P59" s="16">
        <v>6</v>
      </c>
      <c r="Q59" s="15">
        <f t="shared" si="9"/>
        <v>66</v>
      </c>
      <c r="R59" s="14">
        <f>Q59*80</f>
        <v>5280</v>
      </c>
      <c r="S59" s="16">
        <v>121</v>
      </c>
      <c r="T59" s="16"/>
      <c r="U59" s="16">
        <v>5</v>
      </c>
      <c r="V59" s="16" t="s">
        <v>65</v>
      </c>
      <c r="W59" s="16"/>
      <c r="X59" s="16">
        <v>2</v>
      </c>
      <c r="Y59" s="15">
        <f t="shared" si="10"/>
        <v>128</v>
      </c>
      <c r="Z59" s="14">
        <f>Y59*79</f>
        <v>10112</v>
      </c>
      <c r="AA59" s="16">
        <v>11</v>
      </c>
      <c r="AB59" s="16">
        <v>10</v>
      </c>
      <c r="AC59" s="16">
        <v>30</v>
      </c>
      <c r="AD59" s="16"/>
      <c r="AE59" s="16" t="s">
        <v>65</v>
      </c>
      <c r="AF59" s="16">
        <v>111</v>
      </c>
      <c r="AG59" s="16">
        <v>38</v>
      </c>
      <c r="AH59" s="15">
        <f t="shared" si="11"/>
        <v>200</v>
      </c>
      <c r="AI59" s="14">
        <f>AH59*79</f>
        <v>15800</v>
      </c>
      <c r="AK59" s="19" t="s">
        <v>3</v>
      </c>
      <c r="AL59" s="18">
        <f>J64+R64+Z64+AI64</f>
        <v>970705</v>
      </c>
    </row>
    <row r="60" spans="2:42" x14ac:dyDescent="0.3">
      <c r="B60" s="17" t="s">
        <v>4</v>
      </c>
      <c r="C60" s="16">
        <v>26</v>
      </c>
      <c r="D60" s="16">
        <v>222</v>
      </c>
      <c r="E60" s="16">
        <v>25</v>
      </c>
      <c r="F60" s="16">
        <v>40</v>
      </c>
      <c r="G60" s="16">
        <v>129</v>
      </c>
      <c r="H60" s="16" t="s">
        <v>65</v>
      </c>
      <c r="I60" s="15">
        <f t="shared" si="8"/>
        <v>442</v>
      </c>
      <c r="J60" s="14">
        <f>I60*100</f>
        <v>44200</v>
      </c>
      <c r="K60" s="16">
        <v>202</v>
      </c>
      <c r="L60" s="16">
        <v>52</v>
      </c>
      <c r="M60" s="16">
        <v>30</v>
      </c>
      <c r="N60" s="16">
        <v>50</v>
      </c>
      <c r="O60" s="16">
        <v>40</v>
      </c>
      <c r="P60" s="16">
        <v>40</v>
      </c>
      <c r="Q60" s="15">
        <f t="shared" si="9"/>
        <v>414</v>
      </c>
      <c r="R60" s="14">
        <f>Q60*100</f>
        <v>41400</v>
      </c>
      <c r="S60" s="16">
        <v>64</v>
      </c>
      <c r="T60" s="16">
        <v>48</v>
      </c>
      <c r="U60" s="16">
        <v>123</v>
      </c>
      <c r="V60" s="16">
        <v>115</v>
      </c>
      <c r="W60" s="16">
        <v>113</v>
      </c>
      <c r="X60" s="16">
        <v>65</v>
      </c>
      <c r="Y60" s="15">
        <f t="shared" si="10"/>
        <v>528</v>
      </c>
      <c r="Z60" s="14">
        <f>Y60*100</f>
        <v>52800</v>
      </c>
      <c r="AA60" s="16">
        <v>55</v>
      </c>
      <c r="AB60" s="16">
        <v>45</v>
      </c>
      <c r="AC60" s="16">
        <v>160</v>
      </c>
      <c r="AD60" s="16">
        <v>40</v>
      </c>
      <c r="AE60" s="16">
        <v>15</v>
      </c>
      <c r="AF60" s="16">
        <v>18</v>
      </c>
      <c r="AG60" s="16">
        <v>56</v>
      </c>
      <c r="AH60" s="15">
        <f t="shared" si="11"/>
        <v>389</v>
      </c>
      <c r="AI60" s="14">
        <f>AH60*100</f>
        <v>38900</v>
      </c>
    </row>
    <row r="61" spans="2:42" ht="15.6" x14ac:dyDescent="0.3">
      <c r="B61" s="17" t="s">
        <v>5</v>
      </c>
      <c r="C61" s="16"/>
      <c r="D61" s="16"/>
      <c r="E61" s="16"/>
      <c r="F61" s="16"/>
      <c r="G61" s="16"/>
      <c r="H61" s="16" t="s">
        <v>65</v>
      </c>
      <c r="I61" s="15">
        <f t="shared" si="8"/>
        <v>0</v>
      </c>
      <c r="J61" s="14">
        <f>I61*115</f>
        <v>0</v>
      </c>
      <c r="K61" s="16"/>
      <c r="L61" s="16">
        <v>51</v>
      </c>
      <c r="M61" s="16"/>
      <c r="N61" s="16"/>
      <c r="O61" s="16"/>
      <c r="P61" s="16"/>
      <c r="Q61" s="15">
        <f t="shared" si="9"/>
        <v>51</v>
      </c>
      <c r="R61" s="14">
        <f>Q61*115</f>
        <v>5865</v>
      </c>
      <c r="S61" s="16"/>
      <c r="T61" s="16" t="s">
        <v>66</v>
      </c>
      <c r="U61" s="16"/>
      <c r="V61" s="16"/>
      <c r="W61" s="16"/>
      <c r="X61" s="16"/>
      <c r="Y61" s="15">
        <f t="shared" si="10"/>
        <v>0</v>
      </c>
      <c r="Z61" s="14">
        <f>Y61*115</f>
        <v>0</v>
      </c>
      <c r="AA61" s="16"/>
      <c r="AB61" s="16"/>
      <c r="AC61" s="16"/>
      <c r="AD61" s="16"/>
      <c r="AE61" s="16"/>
      <c r="AF61" s="16">
        <v>1</v>
      </c>
      <c r="AG61" s="16"/>
      <c r="AH61" s="15">
        <f t="shared" si="11"/>
        <v>1</v>
      </c>
      <c r="AI61" s="14">
        <f>AH61*115</f>
        <v>115</v>
      </c>
      <c r="AK61" s="13" t="s">
        <v>4</v>
      </c>
      <c r="AL61" s="12">
        <f>I60+Q60+Y60+AH60</f>
        <v>1773</v>
      </c>
      <c r="AM61" s="11">
        <f>AL62/AL61</f>
        <v>100</v>
      </c>
    </row>
    <row r="62" spans="2:42" ht="15.6" x14ac:dyDescent="0.3">
      <c r="C62" s="10"/>
      <c r="D62" s="10"/>
      <c r="E62" s="10"/>
      <c r="F62" s="10"/>
      <c r="G62" s="10"/>
      <c r="H62" s="10"/>
      <c r="I62" s="9">
        <f>SUM(I56:I61)</f>
        <v>3064.5</v>
      </c>
      <c r="J62" s="8">
        <f>SUM(J56:J61)</f>
        <v>292636</v>
      </c>
      <c r="K62" s="10"/>
      <c r="L62" s="10"/>
      <c r="M62" s="10"/>
      <c r="N62" s="10"/>
      <c r="O62" s="10"/>
      <c r="P62" s="10"/>
      <c r="Q62" s="9">
        <f>SUM(Q56:Q61)</f>
        <v>2733</v>
      </c>
      <c r="R62" s="8">
        <f>SUM(R56:R61)</f>
        <v>262041</v>
      </c>
      <c r="S62" s="10"/>
      <c r="T62" s="10"/>
      <c r="U62" s="10"/>
      <c r="V62" s="10"/>
      <c r="W62" s="10"/>
      <c r="X62" s="10"/>
      <c r="Y62" s="9">
        <f>SUM(Y56:Y61)</f>
        <v>3735</v>
      </c>
      <c r="Z62" s="8">
        <f>SUM(Z56:Z61)</f>
        <v>352507</v>
      </c>
      <c r="AA62" s="10"/>
      <c r="AB62" s="10"/>
      <c r="AC62" s="10"/>
      <c r="AD62" s="10"/>
      <c r="AE62" s="10"/>
      <c r="AF62" s="10"/>
      <c r="AG62" s="10"/>
      <c r="AH62" s="9">
        <f>SUM(AH56:AH61)</f>
        <v>3018</v>
      </c>
      <c r="AI62" s="8">
        <f>SUM(AI56:AI61)</f>
        <v>283073</v>
      </c>
      <c r="AK62" s="7" t="s">
        <v>3</v>
      </c>
      <c r="AL62" s="6">
        <f>AI60+J60+R60+Z60</f>
        <v>177300</v>
      </c>
    </row>
    <row r="64" spans="2:42" ht="15.6" x14ac:dyDescent="0.3">
      <c r="I64" s="4">
        <f>I56+I57+I58</f>
        <v>2559</v>
      </c>
      <c r="J64" s="3">
        <f>J56+J57+J58</f>
        <v>243356</v>
      </c>
      <c r="Q64" s="4">
        <f>Q56+Q57+Q58</f>
        <v>2202</v>
      </c>
      <c r="R64" s="3">
        <f>R56+R57+R58</f>
        <v>209496</v>
      </c>
      <c r="Y64" s="4">
        <f>Y56+Y57+Y58</f>
        <v>3079</v>
      </c>
      <c r="Z64" s="3">
        <f>Z56+Z57+Z58</f>
        <v>289595</v>
      </c>
      <c r="AH64" s="4">
        <f>AH56+AH57+AH58</f>
        <v>2428</v>
      </c>
      <c r="AI64" s="3">
        <f>AI56+AI57+AI58</f>
        <v>228258</v>
      </c>
    </row>
    <row r="66" spans="37:38" x14ac:dyDescent="0.3">
      <c r="AK66" s="2" t="s">
        <v>1</v>
      </c>
      <c r="AL66" s="1">
        <f>AL62+AL59+AL20</f>
        <v>1636663</v>
      </c>
    </row>
  </sheetData>
  <mergeCells count="2">
    <mergeCell ref="AP3:AQ3"/>
    <mergeCell ref="AK24:AL24"/>
  </mergeCells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1870-7C7D-4320-98EA-A6D28C6462FE}">
  <dimension ref="B3:AU66"/>
  <sheetViews>
    <sheetView zoomScale="99" zoomScaleNormal="99" workbookViewId="0">
      <pane xSplit="2" ySplit="3" topLeftCell="AI10" activePane="bottomRight" state="frozen"/>
      <selection pane="topRight" activeCell="C1" sqref="C1"/>
      <selection pane="bottomLeft" activeCell="A4" sqref="A4"/>
      <selection pane="bottomRight" activeCell="AS22" sqref="AS22"/>
    </sheetView>
  </sheetViews>
  <sheetFormatPr baseColWidth="10" defaultRowHeight="14.4" x14ac:dyDescent="0.3"/>
  <cols>
    <col min="1" max="1" width="5.6640625" customWidth="1"/>
    <col min="2" max="2" width="18.33203125" customWidth="1"/>
    <col min="8" max="8" width="13.33203125" customWidth="1"/>
    <col min="9" max="9" width="16.109375" customWidth="1"/>
    <col min="16" max="16" width="13.33203125" customWidth="1"/>
    <col min="17" max="17" width="16.109375" customWidth="1"/>
    <col min="24" max="24" width="13.33203125" customWidth="1"/>
    <col min="25" max="25" width="16.109375" customWidth="1"/>
    <col min="32" max="32" width="13.33203125" customWidth="1"/>
    <col min="33" max="33" width="20.21875" customWidth="1"/>
    <col min="34" max="35" width="11.5546875" customWidth="1"/>
    <col min="38" max="38" width="13.33203125" customWidth="1"/>
    <col min="39" max="39" width="20.21875" customWidth="1"/>
    <col min="40" max="40" width="6.5546875" customWidth="1"/>
    <col min="41" max="41" width="15.33203125" customWidth="1"/>
    <col min="42" max="42" width="19.109375" customWidth="1"/>
    <col min="43" max="43" width="13.88671875" customWidth="1"/>
    <col min="45" max="45" width="9.77734375" customWidth="1"/>
    <col min="46" max="46" width="17.109375" customWidth="1"/>
    <col min="47" max="47" width="16.77734375" customWidth="1"/>
  </cols>
  <sheetData>
    <row r="3" spans="2:47" s="22" customFormat="1" ht="13.8" customHeight="1" x14ac:dyDescent="0.3">
      <c r="B3" s="25" t="s">
        <v>13</v>
      </c>
      <c r="C3" s="24">
        <v>45839</v>
      </c>
      <c r="D3" s="24">
        <v>45840</v>
      </c>
      <c r="E3" s="24">
        <v>45841</v>
      </c>
      <c r="F3" s="24">
        <v>45842</v>
      </c>
      <c r="G3" s="24">
        <v>45843</v>
      </c>
      <c r="H3" s="23" t="s">
        <v>63</v>
      </c>
      <c r="I3" s="23" t="s">
        <v>11</v>
      </c>
      <c r="J3" s="24">
        <v>45845</v>
      </c>
      <c r="K3" s="24">
        <v>45846</v>
      </c>
      <c r="L3" s="24">
        <v>45847</v>
      </c>
      <c r="M3" s="24">
        <v>45848</v>
      </c>
      <c r="N3" s="24">
        <v>45849</v>
      </c>
      <c r="O3" s="24">
        <v>45850</v>
      </c>
      <c r="P3" s="23" t="s">
        <v>63</v>
      </c>
      <c r="Q3" s="23" t="s">
        <v>11</v>
      </c>
      <c r="R3" s="24">
        <v>45852</v>
      </c>
      <c r="S3" s="24">
        <v>45853</v>
      </c>
      <c r="T3" s="24">
        <v>45854</v>
      </c>
      <c r="U3" s="24">
        <v>45855</v>
      </c>
      <c r="V3" s="24">
        <v>45856</v>
      </c>
      <c r="W3" s="24">
        <v>45857</v>
      </c>
      <c r="X3" s="23" t="s">
        <v>63</v>
      </c>
      <c r="Y3" s="23" t="s">
        <v>11</v>
      </c>
      <c r="Z3" s="24">
        <v>45859</v>
      </c>
      <c r="AA3" s="24">
        <v>45860</v>
      </c>
      <c r="AB3" s="24">
        <v>45861</v>
      </c>
      <c r="AC3" s="24">
        <v>45862</v>
      </c>
      <c r="AD3" s="24">
        <v>45863</v>
      </c>
      <c r="AE3" s="24">
        <v>45864</v>
      </c>
      <c r="AF3" s="23" t="s">
        <v>63</v>
      </c>
      <c r="AG3" s="23" t="s">
        <v>11</v>
      </c>
      <c r="AH3" s="24">
        <v>45866</v>
      </c>
      <c r="AI3" s="24">
        <v>45867</v>
      </c>
      <c r="AJ3" s="24">
        <v>45868</v>
      </c>
      <c r="AK3" s="24">
        <v>45869</v>
      </c>
      <c r="AL3" s="23" t="s">
        <v>63</v>
      </c>
      <c r="AM3" s="23" t="s">
        <v>11</v>
      </c>
      <c r="AT3" s="68" t="s">
        <v>74</v>
      </c>
      <c r="AU3" s="69"/>
    </row>
    <row r="4" spans="2:47" ht="15.6" customHeight="1" x14ac:dyDescent="0.3">
      <c r="B4" s="17" t="s">
        <v>62</v>
      </c>
      <c r="C4" s="16">
        <v>24</v>
      </c>
      <c r="D4" s="16">
        <v>63</v>
      </c>
      <c r="E4" s="16">
        <v>95</v>
      </c>
      <c r="F4" s="16">
        <v>40</v>
      </c>
      <c r="G4" s="16">
        <v>32</v>
      </c>
      <c r="H4" s="15">
        <f>SUM(C4:G4)</f>
        <v>254</v>
      </c>
      <c r="I4" s="14">
        <f>H4*60</f>
        <v>15240</v>
      </c>
      <c r="J4" s="16">
        <v>15</v>
      </c>
      <c r="K4" s="16">
        <v>50</v>
      </c>
      <c r="L4" s="16" t="s">
        <v>65</v>
      </c>
      <c r="M4" s="16" t="s">
        <v>65</v>
      </c>
      <c r="N4" s="16" t="s">
        <v>65</v>
      </c>
      <c r="O4" s="16">
        <v>50</v>
      </c>
      <c r="P4" s="15">
        <f>SUM(J4:O4)</f>
        <v>115</v>
      </c>
      <c r="Q4" s="14">
        <f>P4*60</f>
        <v>6900</v>
      </c>
      <c r="R4" s="16">
        <v>10</v>
      </c>
      <c r="S4" s="16">
        <v>60</v>
      </c>
      <c r="T4" s="16">
        <v>95</v>
      </c>
      <c r="U4" s="16">
        <v>40</v>
      </c>
      <c r="V4" s="16">
        <v>16</v>
      </c>
      <c r="W4" s="16">
        <v>25</v>
      </c>
      <c r="X4" s="15">
        <f>SUM(R4:W4)</f>
        <v>246</v>
      </c>
      <c r="Y4" s="14">
        <f>X4*60</f>
        <v>14760</v>
      </c>
      <c r="Z4" s="16">
        <v>11</v>
      </c>
      <c r="AA4" s="16">
        <v>81</v>
      </c>
      <c r="AB4" s="16">
        <v>75</v>
      </c>
      <c r="AC4" s="16">
        <v>65</v>
      </c>
      <c r="AD4" s="16"/>
      <c r="AE4" s="16">
        <v>61</v>
      </c>
      <c r="AF4" s="15">
        <f t="shared" ref="AF4:AF18" si="0">SUM(Z4:AE4)</f>
        <v>293</v>
      </c>
      <c r="AG4" s="14">
        <f>AF4*60</f>
        <v>17580</v>
      </c>
      <c r="AH4" s="65"/>
      <c r="AI4" s="62"/>
      <c r="AJ4" s="16">
        <v>73</v>
      </c>
      <c r="AK4" s="16">
        <v>16</v>
      </c>
      <c r="AL4" s="15">
        <f>SUM(AH4:AK4)</f>
        <v>89</v>
      </c>
      <c r="AM4" s="14">
        <f>AL4*60</f>
        <v>5340</v>
      </c>
      <c r="AT4" s="60" t="s">
        <v>48</v>
      </c>
      <c r="AU4" s="48">
        <f>AP19</f>
        <v>6469</v>
      </c>
    </row>
    <row r="5" spans="2:47" ht="15.6" x14ac:dyDescent="0.3">
      <c r="B5" s="17" t="s">
        <v>61</v>
      </c>
      <c r="C5" s="16">
        <v>30</v>
      </c>
      <c r="D5" s="16">
        <v>65</v>
      </c>
      <c r="E5" s="16">
        <v>52</v>
      </c>
      <c r="F5" s="16">
        <v>17</v>
      </c>
      <c r="G5" s="16">
        <v>17</v>
      </c>
      <c r="H5" s="15">
        <f t="shared" ref="H5:H18" si="1">SUM(C5:G5)</f>
        <v>181</v>
      </c>
      <c r="I5" s="14">
        <f>H5*60</f>
        <v>10860</v>
      </c>
      <c r="J5" s="16">
        <v>4</v>
      </c>
      <c r="K5" s="16">
        <v>185</v>
      </c>
      <c r="L5" s="16">
        <v>25</v>
      </c>
      <c r="M5" s="16">
        <v>13</v>
      </c>
      <c r="N5" s="16">
        <v>53</v>
      </c>
      <c r="O5" s="16">
        <v>21</v>
      </c>
      <c r="P5" s="15">
        <f t="shared" ref="P5:P18" si="2">SUM(J5:O5)</f>
        <v>301</v>
      </c>
      <c r="Q5" s="14">
        <f>P5*60</f>
        <v>18060</v>
      </c>
      <c r="R5" s="16">
        <v>7</v>
      </c>
      <c r="S5" s="16">
        <v>30</v>
      </c>
      <c r="T5" s="16">
        <v>51</v>
      </c>
      <c r="U5" s="16">
        <v>20</v>
      </c>
      <c r="V5" s="16">
        <v>37</v>
      </c>
      <c r="W5" s="16">
        <v>48</v>
      </c>
      <c r="X5" s="15">
        <f t="shared" ref="X5:X18" si="3">SUM(R5:W5)</f>
        <v>193</v>
      </c>
      <c r="Y5" s="14">
        <f>X5*60</f>
        <v>11580</v>
      </c>
      <c r="Z5" s="16">
        <v>8</v>
      </c>
      <c r="AA5" s="16">
        <v>63</v>
      </c>
      <c r="AB5" s="16">
        <v>50</v>
      </c>
      <c r="AC5" s="16">
        <v>15</v>
      </c>
      <c r="AD5" s="16"/>
      <c r="AE5" s="16">
        <v>51</v>
      </c>
      <c r="AF5" s="15">
        <f t="shared" si="0"/>
        <v>187</v>
      </c>
      <c r="AG5" s="14">
        <f>AF5*60</f>
        <v>11220</v>
      </c>
      <c r="AH5" s="62"/>
      <c r="AI5" s="62"/>
      <c r="AJ5" s="16">
        <v>19</v>
      </c>
      <c r="AK5" s="16">
        <v>23</v>
      </c>
      <c r="AL5" s="15">
        <f t="shared" ref="AL5:AL18" si="4">SUM(AH5:AK5)</f>
        <v>42</v>
      </c>
      <c r="AM5" s="14">
        <f>AL5*60</f>
        <v>2520</v>
      </c>
      <c r="AT5" s="60" t="s">
        <v>3</v>
      </c>
      <c r="AU5" s="46">
        <f>AP20</f>
        <v>465498</v>
      </c>
    </row>
    <row r="6" spans="2:47" ht="15.6" x14ac:dyDescent="0.3">
      <c r="B6" s="17" t="s">
        <v>60</v>
      </c>
      <c r="C6" s="16" t="s">
        <v>65</v>
      </c>
      <c r="D6" s="16">
        <v>10</v>
      </c>
      <c r="E6" s="16">
        <v>5</v>
      </c>
      <c r="F6" s="16" t="s">
        <v>65</v>
      </c>
      <c r="G6" s="16" t="s">
        <v>65</v>
      </c>
      <c r="H6" s="15">
        <f t="shared" si="1"/>
        <v>15</v>
      </c>
      <c r="I6" s="14">
        <f>H6*61</f>
        <v>915</v>
      </c>
      <c r="J6" s="16" t="s">
        <v>65</v>
      </c>
      <c r="K6" s="16" t="s">
        <v>65</v>
      </c>
      <c r="L6" s="16" t="s">
        <v>65</v>
      </c>
      <c r="M6" s="16">
        <v>8</v>
      </c>
      <c r="N6" s="16" t="s">
        <v>65</v>
      </c>
      <c r="O6" s="16">
        <v>21</v>
      </c>
      <c r="P6" s="15">
        <f t="shared" si="2"/>
        <v>29</v>
      </c>
      <c r="Q6" s="14">
        <f>P6*61</f>
        <v>1769</v>
      </c>
      <c r="R6" s="16"/>
      <c r="S6" s="16">
        <v>5</v>
      </c>
      <c r="T6" s="16"/>
      <c r="U6" s="16">
        <v>7</v>
      </c>
      <c r="V6" s="16" t="s">
        <v>65</v>
      </c>
      <c r="W6" s="16" t="s">
        <v>65</v>
      </c>
      <c r="X6" s="15">
        <f t="shared" si="3"/>
        <v>12</v>
      </c>
      <c r="Y6" s="14">
        <f>X6*61</f>
        <v>732</v>
      </c>
      <c r="Z6" s="16" t="s">
        <v>65</v>
      </c>
      <c r="AA6" s="16">
        <v>11</v>
      </c>
      <c r="AB6" s="16" t="s">
        <v>65</v>
      </c>
      <c r="AC6" s="16">
        <v>16</v>
      </c>
      <c r="AD6" s="16"/>
      <c r="AE6" s="16">
        <v>34</v>
      </c>
      <c r="AF6" s="15">
        <f t="shared" si="0"/>
        <v>61</v>
      </c>
      <c r="AG6" s="14">
        <f>AF6*61</f>
        <v>3721</v>
      </c>
      <c r="AH6" s="62"/>
      <c r="AI6" s="62"/>
      <c r="AJ6" s="16">
        <v>25</v>
      </c>
      <c r="AK6" s="16">
        <v>1</v>
      </c>
      <c r="AL6" s="15">
        <f t="shared" si="4"/>
        <v>26</v>
      </c>
      <c r="AM6" s="14">
        <f>AL6*61</f>
        <v>1586</v>
      </c>
      <c r="AT6" s="59" t="s">
        <v>15</v>
      </c>
      <c r="AU6" s="37">
        <f>AP48</f>
        <v>1096</v>
      </c>
    </row>
    <row r="7" spans="2:47" ht="15.6" x14ac:dyDescent="0.3">
      <c r="B7" s="17" t="s">
        <v>59</v>
      </c>
      <c r="C7" s="16">
        <v>10</v>
      </c>
      <c r="D7" s="16">
        <v>24</v>
      </c>
      <c r="E7" s="16">
        <v>30</v>
      </c>
      <c r="F7" s="16">
        <v>23</v>
      </c>
      <c r="G7" s="16">
        <v>12</v>
      </c>
      <c r="H7" s="15">
        <f t="shared" si="1"/>
        <v>99</v>
      </c>
      <c r="I7" s="14">
        <f>H7*60</f>
        <v>5940</v>
      </c>
      <c r="J7" s="16">
        <v>17</v>
      </c>
      <c r="K7" s="16">
        <v>21</v>
      </c>
      <c r="L7" s="16">
        <v>10</v>
      </c>
      <c r="M7" s="16">
        <v>10</v>
      </c>
      <c r="N7" s="16">
        <v>5</v>
      </c>
      <c r="O7" s="16" t="s">
        <v>65</v>
      </c>
      <c r="P7" s="15">
        <f t="shared" si="2"/>
        <v>63</v>
      </c>
      <c r="Q7" s="14">
        <f>P7*60</f>
        <v>3780</v>
      </c>
      <c r="R7" s="16">
        <v>31</v>
      </c>
      <c r="S7" s="16">
        <v>55</v>
      </c>
      <c r="T7" s="16">
        <v>24</v>
      </c>
      <c r="U7" s="16" t="s">
        <v>65</v>
      </c>
      <c r="V7" s="16">
        <v>21</v>
      </c>
      <c r="W7" s="16">
        <v>22</v>
      </c>
      <c r="X7" s="15">
        <f t="shared" si="3"/>
        <v>153</v>
      </c>
      <c r="Y7" s="14">
        <f>X7*60</f>
        <v>9180</v>
      </c>
      <c r="Z7" s="16" t="s">
        <v>65</v>
      </c>
      <c r="AA7" s="16">
        <v>16</v>
      </c>
      <c r="AB7" s="16">
        <v>65</v>
      </c>
      <c r="AC7" s="16">
        <v>23</v>
      </c>
      <c r="AD7" s="16">
        <v>10</v>
      </c>
      <c r="AE7" s="16">
        <v>30</v>
      </c>
      <c r="AF7" s="15">
        <f t="shared" si="0"/>
        <v>144</v>
      </c>
      <c r="AG7" s="14">
        <f>AF7*60</f>
        <v>8640</v>
      </c>
      <c r="AH7" s="62"/>
      <c r="AI7" s="62"/>
      <c r="AJ7" s="16">
        <v>2</v>
      </c>
      <c r="AK7" s="16">
        <v>27</v>
      </c>
      <c r="AL7" s="15">
        <f t="shared" si="4"/>
        <v>29</v>
      </c>
      <c r="AM7" s="14">
        <f>AL7*60</f>
        <v>1740</v>
      </c>
      <c r="AT7" s="59" t="s">
        <v>3</v>
      </c>
      <c r="AU7" s="34">
        <f>AP49</f>
        <v>101746</v>
      </c>
    </row>
    <row r="8" spans="2:47" ht="15.6" x14ac:dyDescent="0.3">
      <c r="B8" s="17" t="s">
        <v>58</v>
      </c>
      <c r="C8" s="16">
        <v>14</v>
      </c>
      <c r="D8" s="16">
        <v>20</v>
      </c>
      <c r="E8" s="16">
        <v>30</v>
      </c>
      <c r="F8" s="16">
        <v>24</v>
      </c>
      <c r="G8" s="16" t="s">
        <v>65</v>
      </c>
      <c r="H8" s="15">
        <f t="shared" si="1"/>
        <v>88</v>
      </c>
      <c r="I8" s="14">
        <f>H8*60</f>
        <v>5280</v>
      </c>
      <c r="J8" s="16">
        <v>23</v>
      </c>
      <c r="K8" s="16">
        <v>1</v>
      </c>
      <c r="L8" s="16">
        <v>5</v>
      </c>
      <c r="M8" s="16">
        <v>15</v>
      </c>
      <c r="N8" s="16" t="s">
        <v>65</v>
      </c>
      <c r="O8" s="16">
        <v>1</v>
      </c>
      <c r="P8" s="15">
        <f t="shared" si="2"/>
        <v>45</v>
      </c>
      <c r="Q8" s="14">
        <f>P8*60</f>
        <v>2700</v>
      </c>
      <c r="R8" s="16">
        <v>34</v>
      </c>
      <c r="S8" s="16">
        <v>84</v>
      </c>
      <c r="T8" s="16">
        <v>61</v>
      </c>
      <c r="U8" s="16">
        <v>5</v>
      </c>
      <c r="V8" s="16">
        <v>17</v>
      </c>
      <c r="W8" s="16" t="s">
        <v>65</v>
      </c>
      <c r="X8" s="15">
        <f t="shared" si="3"/>
        <v>201</v>
      </c>
      <c r="Y8" s="14">
        <f>X8*60</f>
        <v>12060</v>
      </c>
      <c r="Z8" s="16">
        <v>4</v>
      </c>
      <c r="AA8" s="16">
        <v>5</v>
      </c>
      <c r="AB8" s="16">
        <v>80</v>
      </c>
      <c r="AC8" s="16">
        <v>20</v>
      </c>
      <c r="AD8" s="16"/>
      <c r="AE8" s="16">
        <v>20</v>
      </c>
      <c r="AF8" s="15">
        <f t="shared" si="0"/>
        <v>129</v>
      </c>
      <c r="AG8" s="14">
        <f>AF8*60</f>
        <v>7740</v>
      </c>
      <c r="AH8" s="62"/>
      <c r="AI8" s="62"/>
      <c r="AJ8" s="16">
        <v>12</v>
      </c>
      <c r="AK8" s="16">
        <v>15</v>
      </c>
      <c r="AL8" s="15">
        <f t="shared" si="4"/>
        <v>27</v>
      </c>
      <c r="AM8" s="14">
        <f>AL8*60</f>
        <v>1620</v>
      </c>
      <c r="AT8" s="58" t="s">
        <v>14</v>
      </c>
      <c r="AU8" s="31">
        <f>AP51</f>
        <v>539</v>
      </c>
    </row>
    <row r="9" spans="2:47" ht="15.6" x14ac:dyDescent="0.3">
      <c r="B9" s="17" t="s">
        <v>57</v>
      </c>
      <c r="C9" s="16">
        <v>3</v>
      </c>
      <c r="D9" s="16">
        <v>14</v>
      </c>
      <c r="E9" s="16" t="s">
        <v>65</v>
      </c>
      <c r="F9" s="16">
        <v>6</v>
      </c>
      <c r="G9" s="16">
        <v>3</v>
      </c>
      <c r="H9" s="15">
        <f t="shared" si="1"/>
        <v>26</v>
      </c>
      <c r="I9" s="14">
        <f>H9*60</f>
        <v>1560</v>
      </c>
      <c r="J9" s="16" t="s">
        <v>65</v>
      </c>
      <c r="K9" s="16" t="s">
        <v>65</v>
      </c>
      <c r="L9" s="16">
        <v>10</v>
      </c>
      <c r="M9" s="16" t="s">
        <v>65</v>
      </c>
      <c r="N9" s="16"/>
      <c r="O9" s="16">
        <v>1</v>
      </c>
      <c r="P9" s="15">
        <f t="shared" si="2"/>
        <v>11</v>
      </c>
      <c r="Q9" s="14">
        <f>P9*60</f>
        <v>660</v>
      </c>
      <c r="R9" s="16"/>
      <c r="S9" s="16">
        <v>6</v>
      </c>
      <c r="T9" s="16">
        <v>10</v>
      </c>
      <c r="U9" s="16" t="s">
        <v>65</v>
      </c>
      <c r="V9" s="16" t="s">
        <v>65</v>
      </c>
      <c r="W9" s="16" t="s">
        <v>65</v>
      </c>
      <c r="X9" s="15">
        <f t="shared" si="3"/>
        <v>16</v>
      </c>
      <c r="Y9" s="14">
        <f>X9*60</f>
        <v>960</v>
      </c>
      <c r="Z9" s="16">
        <v>10</v>
      </c>
      <c r="AA9" s="16">
        <v>1</v>
      </c>
      <c r="AB9" s="16">
        <v>2</v>
      </c>
      <c r="AC9" s="16">
        <v>9</v>
      </c>
      <c r="AD9" s="16">
        <v>1</v>
      </c>
      <c r="AE9" s="16">
        <v>87</v>
      </c>
      <c r="AF9" s="15">
        <f t="shared" si="0"/>
        <v>110</v>
      </c>
      <c r="AG9" s="14">
        <f>AF9*60</f>
        <v>6600</v>
      </c>
      <c r="AH9" s="62"/>
      <c r="AI9" s="62"/>
      <c r="AJ9" s="16">
        <v>1</v>
      </c>
      <c r="AK9" s="16">
        <v>2</v>
      </c>
      <c r="AL9" s="15">
        <f t="shared" si="4"/>
        <v>3</v>
      </c>
      <c r="AM9" s="14">
        <f>AL9*60</f>
        <v>180</v>
      </c>
      <c r="AT9" s="58" t="s">
        <v>3</v>
      </c>
      <c r="AU9" s="26">
        <f>AP52</f>
        <v>28028</v>
      </c>
    </row>
    <row r="10" spans="2:47" ht="15.6" x14ac:dyDescent="0.3">
      <c r="B10" s="17" t="s">
        <v>56</v>
      </c>
      <c r="C10" s="16">
        <v>5</v>
      </c>
      <c r="D10" s="16">
        <v>11</v>
      </c>
      <c r="E10" s="16">
        <v>11</v>
      </c>
      <c r="F10" s="16">
        <v>1</v>
      </c>
      <c r="G10" s="16" t="s">
        <v>65</v>
      </c>
      <c r="H10" s="15">
        <f t="shared" si="1"/>
        <v>28</v>
      </c>
      <c r="I10" s="14">
        <f>H10*60</f>
        <v>1680</v>
      </c>
      <c r="J10" s="16">
        <v>21</v>
      </c>
      <c r="K10" s="16">
        <v>1</v>
      </c>
      <c r="L10" s="16">
        <v>10</v>
      </c>
      <c r="M10" s="16">
        <v>30</v>
      </c>
      <c r="N10" s="16">
        <v>6</v>
      </c>
      <c r="O10" s="16">
        <v>11</v>
      </c>
      <c r="P10" s="15">
        <f t="shared" si="2"/>
        <v>79</v>
      </c>
      <c r="Q10" s="14">
        <f>P10*60</f>
        <v>4740</v>
      </c>
      <c r="R10" s="16">
        <v>2</v>
      </c>
      <c r="S10" s="16">
        <v>1</v>
      </c>
      <c r="T10" s="16">
        <v>5</v>
      </c>
      <c r="U10" s="16">
        <v>42</v>
      </c>
      <c r="V10" s="16">
        <v>11</v>
      </c>
      <c r="W10" s="16">
        <v>2</v>
      </c>
      <c r="X10" s="15">
        <f t="shared" si="3"/>
        <v>63</v>
      </c>
      <c r="Y10" s="14">
        <f>X10*60</f>
        <v>3780</v>
      </c>
      <c r="Z10" s="16">
        <v>18</v>
      </c>
      <c r="AA10" s="16">
        <v>12</v>
      </c>
      <c r="AB10" s="16">
        <v>5</v>
      </c>
      <c r="AC10" s="16">
        <v>9</v>
      </c>
      <c r="AD10" s="16"/>
      <c r="AE10" s="16" t="s">
        <v>65</v>
      </c>
      <c r="AF10" s="15">
        <f t="shared" si="0"/>
        <v>44</v>
      </c>
      <c r="AG10" s="14">
        <f>AF10*60</f>
        <v>2640</v>
      </c>
      <c r="AH10" s="62"/>
      <c r="AI10" s="62"/>
      <c r="AJ10" s="16">
        <v>1</v>
      </c>
      <c r="AK10" s="16">
        <v>5</v>
      </c>
      <c r="AL10" s="15">
        <f t="shared" si="4"/>
        <v>6</v>
      </c>
      <c r="AM10" s="14">
        <f>AL10*60</f>
        <v>360</v>
      </c>
      <c r="AT10" s="57" t="s">
        <v>7</v>
      </c>
      <c r="AU10" s="21">
        <f>AP58</f>
        <v>11957</v>
      </c>
    </row>
    <row r="11" spans="2:47" ht="15.6" x14ac:dyDescent="0.3">
      <c r="B11" s="17" t="s">
        <v>55</v>
      </c>
      <c r="C11" s="16">
        <v>1</v>
      </c>
      <c r="D11" s="16">
        <v>5</v>
      </c>
      <c r="E11" s="16">
        <v>15</v>
      </c>
      <c r="F11" s="16"/>
      <c r="G11" s="16">
        <v>2</v>
      </c>
      <c r="H11" s="15">
        <f t="shared" si="1"/>
        <v>23</v>
      </c>
      <c r="I11" s="14">
        <f>H11*65</f>
        <v>1495</v>
      </c>
      <c r="J11" s="16">
        <v>6</v>
      </c>
      <c r="K11" s="16">
        <v>22</v>
      </c>
      <c r="L11" s="16" t="s">
        <v>65</v>
      </c>
      <c r="M11" s="16" t="s">
        <v>65</v>
      </c>
      <c r="N11" s="16">
        <v>8</v>
      </c>
      <c r="O11" s="16" t="s">
        <v>65</v>
      </c>
      <c r="P11" s="15">
        <f t="shared" si="2"/>
        <v>36</v>
      </c>
      <c r="Q11" s="14">
        <f>P11*65</f>
        <v>2340</v>
      </c>
      <c r="R11" s="16"/>
      <c r="S11" s="16">
        <v>2</v>
      </c>
      <c r="T11" s="16">
        <v>1</v>
      </c>
      <c r="U11" s="16">
        <v>10</v>
      </c>
      <c r="V11" s="16" t="s">
        <v>65</v>
      </c>
      <c r="W11" s="16">
        <v>3</v>
      </c>
      <c r="X11" s="15">
        <f t="shared" si="3"/>
        <v>16</v>
      </c>
      <c r="Y11" s="14">
        <f>X11*65</f>
        <v>1040</v>
      </c>
      <c r="Z11" s="16"/>
      <c r="AA11" s="16">
        <v>1</v>
      </c>
      <c r="AB11" s="16">
        <v>3</v>
      </c>
      <c r="AC11" s="16">
        <v>2</v>
      </c>
      <c r="AD11" s="16">
        <v>2</v>
      </c>
      <c r="AE11" s="16" t="s">
        <v>65</v>
      </c>
      <c r="AF11" s="15">
        <f t="shared" si="0"/>
        <v>8</v>
      </c>
      <c r="AG11" s="14">
        <f>AF11*65</f>
        <v>520</v>
      </c>
      <c r="AH11" s="62"/>
      <c r="AI11" s="62"/>
      <c r="AJ11" s="16">
        <v>12</v>
      </c>
      <c r="AK11" s="16"/>
      <c r="AL11" s="15">
        <f t="shared" si="4"/>
        <v>12</v>
      </c>
      <c r="AM11" s="14">
        <f>AL11*65</f>
        <v>780</v>
      </c>
      <c r="AT11" s="57" t="s">
        <v>3</v>
      </c>
      <c r="AU11" s="18">
        <f>AP59</f>
        <v>1123789</v>
      </c>
    </row>
    <row r="12" spans="2:47" ht="15.6" x14ac:dyDescent="0.3">
      <c r="B12" s="17" t="s">
        <v>54</v>
      </c>
      <c r="C12" s="16">
        <v>1</v>
      </c>
      <c r="D12" s="16" t="s">
        <v>65</v>
      </c>
      <c r="E12" s="16">
        <v>15</v>
      </c>
      <c r="F12" s="16"/>
      <c r="G12" s="16" t="s">
        <v>65</v>
      </c>
      <c r="H12" s="15">
        <f t="shared" si="1"/>
        <v>16</v>
      </c>
      <c r="I12" s="14">
        <f>H12*65</f>
        <v>1040</v>
      </c>
      <c r="J12" s="16">
        <v>6</v>
      </c>
      <c r="K12" s="16">
        <v>21</v>
      </c>
      <c r="L12" s="16" t="s">
        <v>65</v>
      </c>
      <c r="M12" s="16" t="s">
        <v>65</v>
      </c>
      <c r="N12" s="16">
        <v>3</v>
      </c>
      <c r="O12" s="16" t="s">
        <v>65</v>
      </c>
      <c r="P12" s="15">
        <f t="shared" si="2"/>
        <v>30</v>
      </c>
      <c r="Q12" s="14">
        <f>P12*65</f>
        <v>1950</v>
      </c>
      <c r="R12" s="16">
        <v>1</v>
      </c>
      <c r="S12" s="16">
        <v>1</v>
      </c>
      <c r="T12" s="16">
        <v>1</v>
      </c>
      <c r="U12" s="16">
        <v>10</v>
      </c>
      <c r="V12" s="16" t="s">
        <v>65</v>
      </c>
      <c r="W12" s="16" t="s">
        <v>65</v>
      </c>
      <c r="X12" s="15">
        <f t="shared" si="3"/>
        <v>13</v>
      </c>
      <c r="Y12" s="14">
        <f>X12*65</f>
        <v>845</v>
      </c>
      <c r="Z12" s="20"/>
      <c r="AA12" s="16">
        <v>1</v>
      </c>
      <c r="AB12" s="16" t="s">
        <v>65</v>
      </c>
      <c r="AC12" s="16" t="s">
        <v>65</v>
      </c>
      <c r="AD12" s="16">
        <v>2</v>
      </c>
      <c r="AE12" s="16" t="s">
        <v>65</v>
      </c>
      <c r="AF12" s="15">
        <f t="shared" si="0"/>
        <v>3</v>
      </c>
      <c r="AG12" s="14">
        <f>AF12*65</f>
        <v>195</v>
      </c>
      <c r="AH12" s="62"/>
      <c r="AI12" s="62"/>
      <c r="AJ12" s="16">
        <v>23</v>
      </c>
      <c r="AK12" s="16">
        <v>1</v>
      </c>
      <c r="AL12" s="15">
        <f t="shared" si="4"/>
        <v>24</v>
      </c>
      <c r="AM12" s="14">
        <f>AL12*65</f>
        <v>1560</v>
      </c>
      <c r="AT12" s="56" t="s">
        <v>4</v>
      </c>
      <c r="AU12" s="12">
        <f>AP61</f>
        <v>1435</v>
      </c>
    </row>
    <row r="13" spans="2:47" ht="15.6" x14ac:dyDescent="0.3">
      <c r="B13" s="17" t="s">
        <v>40</v>
      </c>
      <c r="C13" s="16">
        <v>26</v>
      </c>
      <c r="D13" s="16">
        <v>50</v>
      </c>
      <c r="E13" s="16">
        <v>20</v>
      </c>
      <c r="F13" s="16">
        <v>15</v>
      </c>
      <c r="G13" s="16" t="s">
        <v>65</v>
      </c>
      <c r="H13" s="15">
        <f t="shared" si="1"/>
        <v>111</v>
      </c>
      <c r="I13" s="14">
        <f>H13*95</f>
        <v>10545</v>
      </c>
      <c r="J13" s="16">
        <v>25</v>
      </c>
      <c r="K13" s="16">
        <v>13</v>
      </c>
      <c r="L13" s="16">
        <v>10</v>
      </c>
      <c r="M13" s="16">
        <v>15</v>
      </c>
      <c r="N13" s="16"/>
      <c r="O13" s="16">
        <v>4</v>
      </c>
      <c r="P13" s="15">
        <f t="shared" si="2"/>
        <v>67</v>
      </c>
      <c r="Q13" s="14">
        <f>P13*95</f>
        <v>6365</v>
      </c>
      <c r="R13" s="16">
        <v>32</v>
      </c>
      <c r="S13" s="16">
        <v>50</v>
      </c>
      <c r="T13" s="16">
        <v>48</v>
      </c>
      <c r="U13" s="16">
        <v>90</v>
      </c>
      <c r="V13" s="16">
        <v>50</v>
      </c>
      <c r="W13" s="16">
        <v>5</v>
      </c>
      <c r="X13" s="15">
        <f t="shared" si="3"/>
        <v>275</v>
      </c>
      <c r="Y13" s="14">
        <f>X13*95</f>
        <v>26125</v>
      </c>
      <c r="Z13" s="16">
        <v>1</v>
      </c>
      <c r="AA13" s="16">
        <v>29</v>
      </c>
      <c r="AB13" s="16">
        <v>25</v>
      </c>
      <c r="AC13" s="16">
        <v>36</v>
      </c>
      <c r="AD13" s="16"/>
      <c r="AE13" s="16">
        <v>65</v>
      </c>
      <c r="AF13" s="15">
        <f t="shared" si="0"/>
        <v>156</v>
      </c>
      <c r="AG13" s="14">
        <f>AF13*95</f>
        <v>14820</v>
      </c>
      <c r="AH13" s="62"/>
      <c r="AI13" s="62"/>
      <c r="AJ13" s="16">
        <v>26</v>
      </c>
      <c r="AK13" s="16">
        <v>43</v>
      </c>
      <c r="AL13" s="15">
        <f t="shared" si="4"/>
        <v>69</v>
      </c>
      <c r="AM13" s="14">
        <f>AL13*95</f>
        <v>6555</v>
      </c>
      <c r="AT13" s="55" t="s">
        <v>3</v>
      </c>
      <c r="AU13" s="6">
        <f>AP62</f>
        <v>143500</v>
      </c>
    </row>
    <row r="14" spans="2:47" x14ac:dyDescent="0.3">
      <c r="B14" s="17" t="s">
        <v>53</v>
      </c>
      <c r="C14" s="16">
        <v>1</v>
      </c>
      <c r="D14" s="16">
        <v>40</v>
      </c>
      <c r="E14" s="16" t="s">
        <v>65</v>
      </c>
      <c r="F14" s="16">
        <v>41</v>
      </c>
      <c r="G14" s="16">
        <v>2</v>
      </c>
      <c r="H14" s="15">
        <f t="shared" si="1"/>
        <v>84</v>
      </c>
      <c r="I14" s="14">
        <f>H14*105</f>
        <v>8820</v>
      </c>
      <c r="J14" s="16">
        <v>25</v>
      </c>
      <c r="K14" s="16">
        <v>7</v>
      </c>
      <c r="L14" s="16">
        <v>5</v>
      </c>
      <c r="M14" s="16">
        <v>15</v>
      </c>
      <c r="N14" s="16">
        <v>10</v>
      </c>
      <c r="O14" s="16">
        <v>3</v>
      </c>
      <c r="P14" s="15">
        <f t="shared" si="2"/>
        <v>65</v>
      </c>
      <c r="Q14" s="14">
        <f>P14*105</f>
        <v>6825</v>
      </c>
      <c r="R14" s="16">
        <v>24</v>
      </c>
      <c r="S14" s="16">
        <v>25</v>
      </c>
      <c r="T14" s="16">
        <v>18</v>
      </c>
      <c r="U14" s="16">
        <v>100</v>
      </c>
      <c r="V14" s="16">
        <v>16</v>
      </c>
      <c r="W14" s="16">
        <v>18</v>
      </c>
      <c r="X14" s="15">
        <f t="shared" si="3"/>
        <v>201</v>
      </c>
      <c r="Y14" s="14">
        <f>X14*105</f>
        <v>21105</v>
      </c>
      <c r="Z14" s="16"/>
      <c r="AA14" s="16">
        <v>23</v>
      </c>
      <c r="AB14" s="16">
        <v>25</v>
      </c>
      <c r="AC14" s="16">
        <v>30</v>
      </c>
      <c r="AD14" s="16"/>
      <c r="AE14" s="16"/>
      <c r="AF14" s="15">
        <f t="shared" si="0"/>
        <v>78</v>
      </c>
      <c r="AG14" s="14">
        <f>AF14*105</f>
        <v>8190</v>
      </c>
      <c r="AH14" s="62"/>
      <c r="AI14" s="62"/>
      <c r="AJ14" s="16">
        <v>25</v>
      </c>
      <c r="AK14" s="16"/>
      <c r="AL14" s="15">
        <f t="shared" si="4"/>
        <v>25</v>
      </c>
      <c r="AM14" s="14">
        <f>AL14*105</f>
        <v>2625</v>
      </c>
      <c r="AT14" s="10"/>
    </row>
    <row r="15" spans="2:47" ht="15.6" x14ac:dyDescent="0.3">
      <c r="B15" s="17" t="s">
        <v>52</v>
      </c>
      <c r="C15" s="16"/>
      <c r="D15" s="16">
        <v>1</v>
      </c>
      <c r="E15" s="16" t="s">
        <v>65</v>
      </c>
      <c r="F15" s="16">
        <v>10</v>
      </c>
      <c r="G15" s="16"/>
      <c r="H15" s="15">
        <f t="shared" si="1"/>
        <v>11</v>
      </c>
      <c r="I15" s="14">
        <f>H15*110</f>
        <v>1210</v>
      </c>
      <c r="J15" s="16">
        <v>10</v>
      </c>
      <c r="K15" s="16">
        <v>5</v>
      </c>
      <c r="L15" s="16"/>
      <c r="M15" s="16" t="s">
        <v>65</v>
      </c>
      <c r="N15" s="16">
        <v>10</v>
      </c>
      <c r="O15" s="16"/>
      <c r="P15" s="15">
        <f t="shared" si="2"/>
        <v>25</v>
      </c>
      <c r="Q15" s="14">
        <f>P15*110</f>
        <v>2750</v>
      </c>
      <c r="R15" s="16">
        <v>1</v>
      </c>
      <c r="S15" s="16">
        <v>4</v>
      </c>
      <c r="T15" s="16">
        <v>1</v>
      </c>
      <c r="U15" s="16" t="s">
        <v>65</v>
      </c>
      <c r="V15" s="16">
        <v>8</v>
      </c>
      <c r="W15" s="16" t="s">
        <v>65</v>
      </c>
      <c r="X15" s="15">
        <f t="shared" si="3"/>
        <v>14</v>
      </c>
      <c r="Y15" s="14">
        <f>X15*110</f>
        <v>1540</v>
      </c>
      <c r="Z15" s="16"/>
      <c r="AA15" s="16">
        <v>1</v>
      </c>
      <c r="AB15" s="16"/>
      <c r="AC15" s="16">
        <v>3</v>
      </c>
      <c r="AD15" s="16"/>
      <c r="AE15" s="16"/>
      <c r="AF15" s="15">
        <f t="shared" si="0"/>
        <v>4</v>
      </c>
      <c r="AG15" s="14">
        <f>AF15*110</f>
        <v>440</v>
      </c>
      <c r="AH15" s="62"/>
      <c r="AI15" s="62"/>
      <c r="AJ15" s="16">
        <v>20</v>
      </c>
      <c r="AK15" s="16"/>
      <c r="AL15" s="15">
        <f t="shared" si="4"/>
        <v>20</v>
      </c>
      <c r="AM15" s="14">
        <f>AL15*110</f>
        <v>2200</v>
      </c>
      <c r="AT15" s="54" t="s">
        <v>51</v>
      </c>
      <c r="AU15" s="66">
        <v>304190</v>
      </c>
    </row>
    <row r="16" spans="2:47" x14ac:dyDescent="0.3">
      <c r="B16" s="17" t="s">
        <v>50</v>
      </c>
      <c r="C16" s="16"/>
      <c r="D16" s="16">
        <v>3</v>
      </c>
      <c r="E16" s="16" t="s">
        <v>65</v>
      </c>
      <c r="F16" s="16"/>
      <c r="G16" s="16"/>
      <c r="H16" s="15">
        <f t="shared" si="1"/>
        <v>3</v>
      </c>
      <c r="I16" s="14">
        <f>H16*70</f>
        <v>210</v>
      </c>
      <c r="J16" s="16"/>
      <c r="K16" s="16"/>
      <c r="L16" s="16">
        <v>4</v>
      </c>
      <c r="M16" s="16"/>
      <c r="N16" s="16">
        <v>20</v>
      </c>
      <c r="O16" s="16"/>
      <c r="P16" s="15">
        <f t="shared" si="2"/>
        <v>24</v>
      </c>
      <c r="Q16" s="14">
        <f>P16*70</f>
        <v>1680</v>
      </c>
      <c r="R16" s="20">
        <v>15</v>
      </c>
      <c r="S16" s="16">
        <v>4</v>
      </c>
      <c r="T16" s="16">
        <v>2</v>
      </c>
      <c r="U16" s="16"/>
      <c r="V16" s="16"/>
      <c r="W16" s="16"/>
      <c r="X16" s="15">
        <f t="shared" si="3"/>
        <v>21</v>
      </c>
      <c r="Y16" s="14">
        <f>X16*70</f>
        <v>1470</v>
      </c>
      <c r="Z16" s="16"/>
      <c r="AA16" s="16"/>
      <c r="AB16" s="16"/>
      <c r="AC16" s="16">
        <v>7</v>
      </c>
      <c r="AD16" s="16"/>
      <c r="AE16" s="16"/>
      <c r="AF16" s="15">
        <f t="shared" si="0"/>
        <v>7</v>
      </c>
      <c r="AG16" s="14">
        <f>AF16*70</f>
        <v>490</v>
      </c>
      <c r="AH16" s="62"/>
      <c r="AI16" s="62"/>
      <c r="AJ16" s="16">
        <v>1</v>
      </c>
      <c r="AK16" s="16"/>
      <c r="AL16" s="15">
        <f t="shared" si="4"/>
        <v>1</v>
      </c>
      <c r="AM16" s="14">
        <f>AL16*70</f>
        <v>70</v>
      </c>
    </row>
    <row r="17" spans="2:44" x14ac:dyDescent="0.3">
      <c r="B17" s="17" t="s">
        <v>28</v>
      </c>
      <c r="C17" s="16"/>
      <c r="D17" s="16"/>
      <c r="E17" s="16" t="s">
        <v>65</v>
      </c>
      <c r="F17" s="16"/>
      <c r="G17" s="16"/>
      <c r="H17" s="15">
        <f t="shared" si="1"/>
        <v>0</v>
      </c>
      <c r="I17" s="14">
        <f>H17*0</f>
        <v>0</v>
      </c>
      <c r="J17" s="16"/>
      <c r="K17" s="16"/>
      <c r="L17" s="16"/>
      <c r="M17" s="16"/>
      <c r="N17" s="16"/>
      <c r="O17" s="16"/>
      <c r="P17" s="15">
        <f t="shared" si="2"/>
        <v>0</v>
      </c>
      <c r="Q17" s="14">
        <f>P17*0</f>
        <v>0</v>
      </c>
      <c r="R17" s="16"/>
      <c r="S17" s="16"/>
      <c r="T17" s="16"/>
      <c r="U17" s="16"/>
      <c r="V17" s="16"/>
      <c r="W17" s="16"/>
      <c r="X17" s="15">
        <f t="shared" si="3"/>
        <v>0</v>
      </c>
      <c r="Y17" s="14">
        <f>X17*0</f>
        <v>0</v>
      </c>
      <c r="Z17" s="16"/>
      <c r="AA17" s="16"/>
      <c r="AB17" s="16"/>
      <c r="AC17" s="16" t="s">
        <v>65</v>
      </c>
      <c r="AD17" s="16"/>
      <c r="AE17" s="16"/>
      <c r="AF17" s="15">
        <f t="shared" si="0"/>
        <v>0</v>
      </c>
      <c r="AG17" s="14">
        <f>AF17*0</f>
        <v>0</v>
      </c>
      <c r="AH17" s="62"/>
      <c r="AI17" s="62"/>
      <c r="AJ17" s="16"/>
      <c r="AK17" s="16"/>
      <c r="AL17" s="15">
        <f t="shared" si="4"/>
        <v>0</v>
      </c>
      <c r="AM17" s="14">
        <f>AL17*0</f>
        <v>0</v>
      </c>
    </row>
    <row r="18" spans="2:44" x14ac:dyDescent="0.3">
      <c r="B18" s="17" t="s">
        <v>49</v>
      </c>
      <c r="C18" s="16" t="s">
        <v>65</v>
      </c>
      <c r="D18" s="16" t="s">
        <v>65</v>
      </c>
      <c r="E18" s="16" t="s">
        <v>65</v>
      </c>
      <c r="F18" s="16" t="s">
        <v>65</v>
      </c>
      <c r="G18" s="16"/>
      <c r="H18" s="15">
        <f t="shared" si="1"/>
        <v>0</v>
      </c>
      <c r="I18" s="14">
        <f>H18*0</f>
        <v>0</v>
      </c>
      <c r="J18" s="16"/>
      <c r="K18" s="16"/>
      <c r="L18" s="16"/>
      <c r="M18" s="16"/>
      <c r="N18" s="16"/>
      <c r="O18" s="16"/>
      <c r="P18" s="15">
        <f t="shared" si="2"/>
        <v>0</v>
      </c>
      <c r="Q18" s="14">
        <f>P18*0</f>
        <v>0</v>
      </c>
      <c r="R18" s="16" t="s">
        <v>65</v>
      </c>
      <c r="S18" s="16"/>
      <c r="T18" s="16"/>
      <c r="U18" s="16" t="s">
        <v>65</v>
      </c>
      <c r="V18" s="16" t="s">
        <v>65</v>
      </c>
      <c r="W18" s="16" t="s">
        <v>65</v>
      </c>
      <c r="X18" s="15">
        <f t="shared" si="3"/>
        <v>0</v>
      </c>
      <c r="Y18" s="14">
        <f>X18*0</f>
        <v>0</v>
      </c>
      <c r="Z18" s="16" t="s">
        <v>65</v>
      </c>
      <c r="AA18" s="16" t="s">
        <v>65</v>
      </c>
      <c r="AB18" s="16"/>
      <c r="AC18" s="16" t="s">
        <v>65</v>
      </c>
      <c r="AD18" s="16" t="s">
        <v>65</v>
      </c>
      <c r="AE18" s="16"/>
      <c r="AF18" s="15">
        <f t="shared" si="0"/>
        <v>0</v>
      </c>
      <c r="AG18" s="14">
        <f>AF18*0</f>
        <v>0</v>
      </c>
      <c r="AH18" s="62"/>
      <c r="AI18" s="62" t="s">
        <v>65</v>
      </c>
      <c r="AJ18" s="16" t="s">
        <v>65</v>
      </c>
      <c r="AK18" s="16"/>
      <c r="AL18" s="15">
        <f t="shared" si="4"/>
        <v>0</v>
      </c>
      <c r="AM18" s="14">
        <f>AL18*0</f>
        <v>0</v>
      </c>
    </row>
    <row r="19" spans="2:44" ht="15.6" x14ac:dyDescent="0.3">
      <c r="B19" s="52"/>
      <c r="C19" s="50"/>
      <c r="D19" s="50"/>
      <c r="E19" s="50"/>
      <c r="F19" s="50"/>
      <c r="G19" s="50"/>
      <c r="H19" s="39">
        <f>SUM(H4:H16)</f>
        <v>939</v>
      </c>
      <c r="I19" s="49">
        <f>SUM(I4:I16)</f>
        <v>64795</v>
      </c>
      <c r="J19" s="50"/>
      <c r="K19" s="50"/>
      <c r="L19" s="50"/>
      <c r="M19" s="50"/>
      <c r="N19" s="50"/>
      <c r="O19" s="50"/>
      <c r="P19" s="39">
        <f>SUM(P4:P16)</f>
        <v>890</v>
      </c>
      <c r="Q19" s="49">
        <f>SUM(Q4:Q16)</f>
        <v>60519</v>
      </c>
      <c r="R19" s="50"/>
      <c r="S19" s="50"/>
      <c r="T19" s="50"/>
      <c r="U19" s="50"/>
      <c r="V19" s="50"/>
      <c r="W19" s="50"/>
      <c r="X19" s="39">
        <f>SUM(X4:X16)</f>
        <v>1424</v>
      </c>
      <c r="Y19" s="49">
        <f>SUM(Y4:Y16)</f>
        <v>105177</v>
      </c>
      <c r="Z19" s="50"/>
      <c r="AA19" s="50"/>
      <c r="AB19" s="50"/>
      <c r="AC19" s="50"/>
      <c r="AD19" s="50"/>
      <c r="AE19" s="50"/>
      <c r="AF19" s="39">
        <f>SUM(AF4:AF16)</f>
        <v>1224</v>
      </c>
      <c r="AG19" s="49">
        <f>SUM(AG4:AG16)</f>
        <v>82796</v>
      </c>
      <c r="AH19" s="50"/>
      <c r="AI19" s="50"/>
      <c r="AJ19" s="50"/>
      <c r="AK19" s="50"/>
      <c r="AL19" s="39">
        <f>SUM(AL4:AL16)</f>
        <v>373</v>
      </c>
      <c r="AM19" s="49">
        <f>SUM(AM4:AM16)</f>
        <v>27136</v>
      </c>
      <c r="AO19" s="47" t="s">
        <v>48</v>
      </c>
      <c r="AP19" s="48">
        <f>H50+P50+X50+AF50+AL50</f>
        <v>6469</v>
      </c>
      <c r="AQ19" s="30">
        <f>AP20/AP19</f>
        <v>71.958262482609371</v>
      </c>
    </row>
    <row r="20" spans="2:44" ht="15.6" customHeight="1" x14ac:dyDescent="0.3">
      <c r="B20" s="42" t="s">
        <v>47</v>
      </c>
      <c r="C20" s="16"/>
      <c r="D20" s="16">
        <v>10</v>
      </c>
      <c r="E20" s="16">
        <v>10</v>
      </c>
      <c r="F20" s="16"/>
      <c r="G20" s="16" t="s">
        <v>65</v>
      </c>
      <c r="H20" s="15">
        <f>SUM(C20:G20)</f>
        <v>20</v>
      </c>
      <c r="I20" s="14">
        <f>H20*85</f>
        <v>1700</v>
      </c>
      <c r="J20" s="16"/>
      <c r="K20" s="16"/>
      <c r="L20" s="16"/>
      <c r="M20" s="16"/>
      <c r="N20" s="16"/>
      <c r="O20" s="16"/>
      <c r="P20" s="15">
        <f>SUM(J20:O20)</f>
        <v>0</v>
      </c>
      <c r="Q20" s="14">
        <f>P20*85</f>
        <v>0</v>
      </c>
      <c r="R20" s="16">
        <v>10</v>
      </c>
      <c r="S20" s="16"/>
      <c r="T20" s="16">
        <v>34</v>
      </c>
      <c r="U20" s="16"/>
      <c r="V20" s="16"/>
      <c r="W20" s="16"/>
      <c r="X20" s="15">
        <f>SUM(R20:W20)</f>
        <v>44</v>
      </c>
      <c r="Y20" s="14">
        <f>X20*85</f>
        <v>3740</v>
      </c>
      <c r="Z20" s="16"/>
      <c r="AA20" s="16">
        <v>10</v>
      </c>
      <c r="AB20" s="16">
        <v>75</v>
      </c>
      <c r="AC20" s="16"/>
      <c r="AD20" s="16"/>
      <c r="AE20" s="16">
        <v>1</v>
      </c>
      <c r="AF20" s="15">
        <f>SUM(Z20:AE20)</f>
        <v>86</v>
      </c>
      <c r="AG20" s="14">
        <f>AF20*98</f>
        <v>8428</v>
      </c>
      <c r="AH20" s="16"/>
      <c r="AI20" s="16"/>
      <c r="AJ20" s="16"/>
      <c r="AK20" s="16">
        <v>10</v>
      </c>
      <c r="AL20" s="15">
        <f>SUM(AH20:AK20)</f>
        <v>10</v>
      </c>
      <c r="AM20" s="14">
        <f>AL20*98</f>
        <v>980</v>
      </c>
      <c r="AO20" s="47" t="s">
        <v>3</v>
      </c>
      <c r="AP20" s="46">
        <f>I50+Q50+Y50+AG50+AM50</f>
        <v>465498</v>
      </c>
    </row>
    <row r="21" spans="2:44" x14ac:dyDescent="0.3">
      <c r="B21" s="42" t="s">
        <v>46</v>
      </c>
      <c r="C21" s="16"/>
      <c r="D21" s="16">
        <v>2</v>
      </c>
      <c r="E21" s="16">
        <v>50</v>
      </c>
      <c r="F21" s="16"/>
      <c r="G21" s="16">
        <v>10</v>
      </c>
      <c r="H21" s="15">
        <f t="shared" ref="H21:H47" si="5">SUM(C21:G21)</f>
        <v>62</v>
      </c>
      <c r="I21" s="14">
        <f>H21*84</f>
        <v>5208</v>
      </c>
      <c r="J21" s="16">
        <v>10</v>
      </c>
      <c r="K21" s="16"/>
      <c r="L21" s="16"/>
      <c r="M21" s="16"/>
      <c r="N21" s="16"/>
      <c r="O21" s="16"/>
      <c r="P21" s="15">
        <f t="shared" ref="P21:P47" si="6">SUM(J21:O21)</f>
        <v>10</v>
      </c>
      <c r="Q21" s="14">
        <f>P21*84</f>
        <v>840</v>
      </c>
      <c r="R21" s="16"/>
      <c r="S21" s="16">
        <v>10</v>
      </c>
      <c r="T21" s="16">
        <v>42</v>
      </c>
      <c r="U21" s="16"/>
      <c r="V21" s="16"/>
      <c r="W21" s="16"/>
      <c r="X21" s="15">
        <f t="shared" ref="X21:X43" si="7">SUM(R21:W21)</f>
        <v>52</v>
      </c>
      <c r="Y21" s="14">
        <f>X21*84</f>
        <v>4368</v>
      </c>
      <c r="Z21" s="16" t="s">
        <v>65</v>
      </c>
      <c r="AA21" s="16">
        <v>10</v>
      </c>
      <c r="AB21" s="16">
        <v>80</v>
      </c>
      <c r="AC21" s="16"/>
      <c r="AD21" s="16"/>
      <c r="AE21" s="16">
        <v>1</v>
      </c>
      <c r="AF21" s="15">
        <f t="shared" ref="AF21:AF47" si="8">SUM(Z21:AE21)</f>
        <v>91</v>
      </c>
      <c r="AG21" s="14">
        <f>AF21*96</f>
        <v>8736</v>
      </c>
      <c r="AH21" s="16"/>
      <c r="AI21" s="16"/>
      <c r="AJ21" s="16">
        <v>10</v>
      </c>
      <c r="AK21" s="16"/>
      <c r="AL21" s="15">
        <f t="shared" ref="AL21:AL47" si="9">SUM(AH21:AK21)</f>
        <v>10</v>
      </c>
      <c r="AM21" s="14">
        <f>AL21*96</f>
        <v>960</v>
      </c>
    </row>
    <row r="22" spans="2:44" x14ac:dyDescent="0.3">
      <c r="B22" s="42" t="s">
        <v>45</v>
      </c>
      <c r="C22" s="16"/>
      <c r="D22" s="16"/>
      <c r="E22" s="16">
        <v>70</v>
      </c>
      <c r="F22" s="16"/>
      <c r="G22" s="16"/>
      <c r="H22" s="15">
        <f t="shared" si="5"/>
        <v>70</v>
      </c>
      <c r="I22" s="14">
        <f>H22*85</f>
        <v>5950</v>
      </c>
      <c r="J22" s="16">
        <v>10</v>
      </c>
      <c r="K22" s="16"/>
      <c r="L22" s="16"/>
      <c r="M22" s="16"/>
      <c r="N22" s="16"/>
      <c r="O22" s="16"/>
      <c r="P22" s="15">
        <f t="shared" si="6"/>
        <v>10</v>
      </c>
      <c r="Q22" s="14">
        <f>P22*85</f>
        <v>850</v>
      </c>
      <c r="R22" s="16">
        <v>2</v>
      </c>
      <c r="S22" s="16">
        <v>1</v>
      </c>
      <c r="T22" s="16">
        <v>2</v>
      </c>
      <c r="U22" s="16"/>
      <c r="V22" s="16"/>
      <c r="W22" s="16"/>
      <c r="X22" s="15">
        <f t="shared" si="7"/>
        <v>5</v>
      </c>
      <c r="Y22" s="14">
        <f>X22*85</f>
        <v>425</v>
      </c>
      <c r="Z22" s="16" t="s">
        <v>65</v>
      </c>
      <c r="AA22" s="16">
        <v>5</v>
      </c>
      <c r="AB22" s="16"/>
      <c r="AC22" s="16"/>
      <c r="AD22" s="16"/>
      <c r="AE22" s="16"/>
      <c r="AF22" s="15">
        <f t="shared" si="8"/>
        <v>5</v>
      </c>
      <c r="AG22" s="14">
        <f>AF22*98</f>
        <v>490</v>
      </c>
      <c r="AH22" s="16"/>
      <c r="AI22" s="16"/>
      <c r="AJ22" s="16"/>
      <c r="AK22" s="16">
        <v>10</v>
      </c>
      <c r="AL22" s="15">
        <f t="shared" si="9"/>
        <v>10</v>
      </c>
      <c r="AM22" s="14">
        <f>AL22*98</f>
        <v>980</v>
      </c>
      <c r="AR22">
        <f>JUNIO!AL19-JULIO!AP19</f>
        <v>268</v>
      </c>
    </row>
    <row r="23" spans="2:44" x14ac:dyDescent="0.3">
      <c r="B23" s="42" t="s">
        <v>44</v>
      </c>
      <c r="C23" s="16"/>
      <c r="D23" s="16">
        <v>15</v>
      </c>
      <c r="E23" s="16" t="s">
        <v>65</v>
      </c>
      <c r="F23" s="16"/>
      <c r="G23" s="16"/>
      <c r="H23" s="15">
        <f t="shared" si="5"/>
        <v>15</v>
      </c>
      <c r="I23" s="14">
        <f>H23*85</f>
        <v>1275</v>
      </c>
      <c r="J23" s="16"/>
      <c r="K23" s="16"/>
      <c r="L23" s="16"/>
      <c r="M23" s="16">
        <v>1</v>
      </c>
      <c r="N23" s="16"/>
      <c r="O23" s="16"/>
      <c r="P23" s="15">
        <f t="shared" si="6"/>
        <v>1</v>
      </c>
      <c r="Q23" s="14">
        <f>P23*85</f>
        <v>85</v>
      </c>
      <c r="R23" s="16">
        <v>4</v>
      </c>
      <c r="S23" s="16"/>
      <c r="T23" s="16">
        <v>4</v>
      </c>
      <c r="U23" s="16"/>
      <c r="V23" s="16"/>
      <c r="W23" s="16"/>
      <c r="X23" s="15">
        <f t="shared" si="7"/>
        <v>8</v>
      </c>
      <c r="Y23" s="14">
        <f>X23*85</f>
        <v>680</v>
      </c>
      <c r="Z23" s="16" t="s">
        <v>65</v>
      </c>
      <c r="AA23" s="16" t="s">
        <v>65</v>
      </c>
      <c r="AB23" s="16">
        <v>15</v>
      </c>
      <c r="AC23" s="16"/>
      <c r="AD23" s="16"/>
      <c r="AE23" s="16"/>
      <c r="AF23" s="15">
        <f t="shared" si="8"/>
        <v>15</v>
      </c>
      <c r="AG23" s="14">
        <f>AF23*82</f>
        <v>1230</v>
      </c>
      <c r="AH23" s="16"/>
      <c r="AI23" s="16"/>
      <c r="AJ23" s="16">
        <v>10</v>
      </c>
      <c r="AK23" s="16"/>
      <c r="AL23" s="15">
        <f t="shared" si="9"/>
        <v>10</v>
      </c>
      <c r="AM23" s="14">
        <f>AL23*82</f>
        <v>820</v>
      </c>
    </row>
    <row r="24" spans="2:44" ht="15.6" x14ac:dyDescent="0.3">
      <c r="B24" s="42" t="s">
        <v>43</v>
      </c>
      <c r="C24" s="16"/>
      <c r="D24" s="16"/>
      <c r="E24" s="16">
        <v>40</v>
      </c>
      <c r="F24" s="16"/>
      <c r="G24" s="16"/>
      <c r="H24" s="15">
        <f t="shared" si="5"/>
        <v>40</v>
      </c>
      <c r="I24" s="14">
        <f>H24*85</f>
        <v>3400</v>
      </c>
      <c r="J24" s="16"/>
      <c r="K24" s="16"/>
      <c r="L24" s="16"/>
      <c r="M24" s="16"/>
      <c r="N24" s="16"/>
      <c r="O24" s="16">
        <v>20</v>
      </c>
      <c r="P24" s="15">
        <f t="shared" si="6"/>
        <v>20</v>
      </c>
      <c r="Q24" s="14">
        <f>P24*85</f>
        <v>1700</v>
      </c>
      <c r="R24" s="16"/>
      <c r="S24" s="16"/>
      <c r="T24" s="16"/>
      <c r="U24" s="16"/>
      <c r="V24" s="16"/>
      <c r="W24" s="16"/>
      <c r="X24" s="15">
        <f t="shared" si="7"/>
        <v>0</v>
      </c>
      <c r="Y24" s="14">
        <f>X24*85</f>
        <v>0</v>
      </c>
      <c r="Z24" s="16" t="s">
        <v>65</v>
      </c>
      <c r="AA24" s="16">
        <v>11</v>
      </c>
      <c r="AB24" s="16"/>
      <c r="AC24" s="16"/>
      <c r="AD24" s="16"/>
      <c r="AE24" s="16"/>
      <c r="AF24" s="15">
        <f t="shared" si="8"/>
        <v>11</v>
      </c>
      <c r="AG24" s="14">
        <f>AF24*100</f>
        <v>1100</v>
      </c>
      <c r="AH24" s="16"/>
      <c r="AI24" s="16"/>
      <c r="AJ24" s="16"/>
      <c r="AK24" s="16"/>
      <c r="AL24" s="15">
        <f t="shared" si="9"/>
        <v>0</v>
      </c>
      <c r="AM24" s="14">
        <f>AL24*100</f>
        <v>0</v>
      </c>
      <c r="AO24" s="70" t="s">
        <v>42</v>
      </c>
      <c r="AP24" s="70"/>
    </row>
    <row r="25" spans="2:44" ht="15.6" x14ac:dyDescent="0.3">
      <c r="B25" s="42" t="s">
        <v>41</v>
      </c>
      <c r="C25" s="16"/>
      <c r="D25" s="16"/>
      <c r="E25" s="16">
        <v>170</v>
      </c>
      <c r="F25" s="16"/>
      <c r="G25" s="16"/>
      <c r="H25" s="15">
        <f t="shared" si="5"/>
        <v>170</v>
      </c>
      <c r="I25" s="14">
        <f>H25*84</f>
        <v>14280</v>
      </c>
      <c r="J25" s="16"/>
      <c r="K25" s="16"/>
      <c r="L25" s="16"/>
      <c r="M25" s="16"/>
      <c r="N25" s="16"/>
      <c r="O25" s="16">
        <v>20</v>
      </c>
      <c r="P25" s="15">
        <f t="shared" si="6"/>
        <v>20</v>
      </c>
      <c r="Q25" s="14">
        <f>P25*84</f>
        <v>1680</v>
      </c>
      <c r="R25" s="16"/>
      <c r="S25" s="16"/>
      <c r="T25" s="16"/>
      <c r="U25" s="16"/>
      <c r="V25" s="16"/>
      <c r="W25" s="16"/>
      <c r="X25" s="15">
        <f t="shared" si="7"/>
        <v>0</v>
      </c>
      <c r="Y25" s="14">
        <f>X25*84</f>
        <v>0</v>
      </c>
      <c r="Z25" s="16" t="s">
        <v>65</v>
      </c>
      <c r="AA25" s="16">
        <v>17</v>
      </c>
      <c r="AB25" s="16"/>
      <c r="AC25" s="16"/>
      <c r="AD25" s="16"/>
      <c r="AE25" s="16"/>
      <c r="AF25" s="15">
        <f t="shared" si="8"/>
        <v>17</v>
      </c>
      <c r="AG25" s="14">
        <f>AF25*115</f>
        <v>1955</v>
      </c>
      <c r="AH25" s="16"/>
      <c r="AI25" s="16"/>
      <c r="AJ25" s="16"/>
      <c r="AK25" s="16"/>
      <c r="AL25" s="15">
        <f t="shared" si="9"/>
        <v>0</v>
      </c>
      <c r="AM25" s="14">
        <f>AL25*115</f>
        <v>0</v>
      </c>
      <c r="AO25" s="45" t="s">
        <v>40</v>
      </c>
      <c r="AP25" s="44">
        <f>H13+P13+X13+AF13+AL13</f>
        <v>678</v>
      </c>
    </row>
    <row r="26" spans="2:44" ht="15.6" x14ac:dyDescent="0.3">
      <c r="B26" s="42" t="s">
        <v>39</v>
      </c>
      <c r="C26" s="16"/>
      <c r="D26" s="16"/>
      <c r="E26" s="16" t="s">
        <v>65</v>
      </c>
      <c r="F26" s="16"/>
      <c r="G26" s="16"/>
      <c r="H26" s="15">
        <f t="shared" si="5"/>
        <v>0</v>
      </c>
      <c r="I26" s="14">
        <f>H26*85</f>
        <v>0</v>
      </c>
      <c r="J26" s="16"/>
      <c r="K26" s="16"/>
      <c r="L26" s="16">
        <v>10</v>
      </c>
      <c r="M26" s="16"/>
      <c r="N26" s="16"/>
      <c r="O26" s="16"/>
      <c r="P26" s="15">
        <f t="shared" si="6"/>
        <v>10</v>
      </c>
      <c r="Q26" s="14">
        <f>P26*85</f>
        <v>850</v>
      </c>
      <c r="R26" s="16"/>
      <c r="S26" s="16"/>
      <c r="T26" s="16"/>
      <c r="U26" s="16"/>
      <c r="V26" s="16"/>
      <c r="W26" s="16"/>
      <c r="X26" s="15">
        <f t="shared" si="7"/>
        <v>0</v>
      </c>
      <c r="Y26" s="14">
        <f>X26*85</f>
        <v>0</v>
      </c>
      <c r="Z26" s="16" t="s">
        <v>65</v>
      </c>
      <c r="AA26" s="16"/>
      <c r="AB26" s="16"/>
      <c r="AC26" s="16"/>
      <c r="AD26" s="16"/>
      <c r="AE26" s="16"/>
      <c r="AF26" s="15">
        <f t="shared" si="8"/>
        <v>0</v>
      </c>
      <c r="AG26" s="14">
        <f>AF26*85</f>
        <v>0</v>
      </c>
      <c r="AH26" s="16"/>
      <c r="AI26" s="16"/>
      <c r="AJ26" s="16"/>
      <c r="AK26" s="16"/>
      <c r="AL26" s="15">
        <f t="shared" si="9"/>
        <v>0</v>
      </c>
      <c r="AM26" s="14">
        <f>AL26*85</f>
        <v>0</v>
      </c>
      <c r="AO26" s="45" t="s">
        <v>38</v>
      </c>
      <c r="AP26" s="44">
        <f>H14+P14+X14+AF14+AL14</f>
        <v>453</v>
      </c>
    </row>
    <row r="27" spans="2:44" ht="15.6" x14ac:dyDescent="0.3">
      <c r="B27" s="42" t="s">
        <v>37</v>
      </c>
      <c r="C27" s="16"/>
      <c r="D27" s="16"/>
      <c r="E27" s="16" t="s">
        <v>65</v>
      </c>
      <c r="F27" s="16"/>
      <c r="G27" s="16"/>
      <c r="H27" s="15">
        <f t="shared" si="5"/>
        <v>0</v>
      </c>
      <c r="I27" s="14">
        <f>H27*85</f>
        <v>0</v>
      </c>
      <c r="J27" s="16"/>
      <c r="K27" s="16"/>
      <c r="L27" s="16"/>
      <c r="M27" s="16"/>
      <c r="N27" s="16"/>
      <c r="O27" s="16"/>
      <c r="P27" s="15">
        <f t="shared" si="6"/>
        <v>0</v>
      </c>
      <c r="Q27" s="14">
        <f>P27*85</f>
        <v>0</v>
      </c>
      <c r="R27" s="16"/>
      <c r="S27" s="16"/>
      <c r="T27" s="16"/>
      <c r="U27" s="16"/>
      <c r="V27" s="16"/>
      <c r="W27" s="16"/>
      <c r="X27" s="15">
        <f t="shared" si="7"/>
        <v>0</v>
      </c>
      <c r="Y27" s="14">
        <f>X27*85</f>
        <v>0</v>
      </c>
      <c r="Z27" s="16" t="s">
        <v>65</v>
      </c>
      <c r="AA27" s="16"/>
      <c r="AB27" s="16"/>
      <c r="AC27" s="16"/>
      <c r="AD27" s="16"/>
      <c r="AE27" s="16"/>
      <c r="AF27" s="15">
        <f t="shared" si="8"/>
        <v>0</v>
      </c>
      <c r="AG27" s="14">
        <f>AF27*85</f>
        <v>0</v>
      </c>
      <c r="AH27" s="16"/>
      <c r="AI27" s="16"/>
      <c r="AJ27" s="16"/>
      <c r="AK27" s="16"/>
      <c r="AL27" s="15">
        <f t="shared" si="9"/>
        <v>0</v>
      </c>
      <c r="AM27" s="14">
        <f>AL27*85</f>
        <v>0</v>
      </c>
      <c r="AO27" s="45" t="s">
        <v>36</v>
      </c>
      <c r="AP27" s="44">
        <f>H15+P15+X15+AF15+AL15</f>
        <v>74</v>
      </c>
    </row>
    <row r="28" spans="2:44" x14ac:dyDescent="0.3">
      <c r="B28" s="42" t="s">
        <v>35</v>
      </c>
      <c r="C28" s="16"/>
      <c r="D28" s="16">
        <v>15</v>
      </c>
      <c r="E28" s="16" t="s">
        <v>65</v>
      </c>
      <c r="F28" s="16"/>
      <c r="G28" s="16"/>
      <c r="H28" s="15">
        <f t="shared" si="5"/>
        <v>15</v>
      </c>
      <c r="I28" s="14">
        <f>H28*75</f>
        <v>1125</v>
      </c>
      <c r="J28" s="16">
        <v>5</v>
      </c>
      <c r="K28" s="16"/>
      <c r="L28" s="16"/>
      <c r="M28" s="16"/>
      <c r="N28" s="16">
        <v>15</v>
      </c>
      <c r="O28" s="16"/>
      <c r="P28" s="15">
        <f t="shared" si="6"/>
        <v>20</v>
      </c>
      <c r="Q28" s="14">
        <f>P28*75</f>
        <v>1500</v>
      </c>
      <c r="R28" s="16"/>
      <c r="S28" s="16"/>
      <c r="T28" s="16"/>
      <c r="U28" s="16"/>
      <c r="V28" s="16">
        <v>10</v>
      </c>
      <c r="W28" s="16"/>
      <c r="X28" s="15">
        <f t="shared" si="7"/>
        <v>10</v>
      </c>
      <c r="Y28" s="14">
        <f>X28*75</f>
        <v>750</v>
      </c>
      <c r="Z28" s="16">
        <v>10</v>
      </c>
      <c r="AA28" s="16">
        <v>9</v>
      </c>
      <c r="AB28" s="16"/>
      <c r="AC28" s="16"/>
      <c r="AD28" s="16"/>
      <c r="AE28" s="16">
        <v>4</v>
      </c>
      <c r="AF28" s="15">
        <f t="shared" si="8"/>
        <v>23</v>
      </c>
      <c r="AG28" s="14">
        <f>AF28*75</f>
        <v>1725</v>
      </c>
      <c r="AH28" s="16"/>
      <c r="AI28" s="16"/>
      <c r="AJ28" s="16"/>
      <c r="AK28" s="16"/>
      <c r="AL28" s="15">
        <f t="shared" si="9"/>
        <v>0</v>
      </c>
      <c r="AM28" s="14">
        <f>AL28*75</f>
        <v>0</v>
      </c>
      <c r="AN28" t="s">
        <v>67</v>
      </c>
      <c r="AP28" s="43">
        <f>SUM(AP25:AP27)</f>
        <v>1205</v>
      </c>
    </row>
    <row r="29" spans="2:44" x14ac:dyDescent="0.3">
      <c r="B29" s="42" t="s">
        <v>34</v>
      </c>
      <c r="C29" s="16"/>
      <c r="D29" s="16">
        <v>10</v>
      </c>
      <c r="E29" s="16" t="s">
        <v>65</v>
      </c>
      <c r="F29" s="16"/>
      <c r="G29" s="16"/>
      <c r="H29" s="15">
        <f t="shared" si="5"/>
        <v>10</v>
      </c>
      <c r="I29" s="14">
        <f>H29*75</f>
        <v>750</v>
      </c>
      <c r="J29" s="16">
        <v>1</v>
      </c>
      <c r="K29" s="16"/>
      <c r="L29" s="16"/>
      <c r="M29" s="16"/>
      <c r="N29" s="16"/>
      <c r="O29" s="16"/>
      <c r="P29" s="15">
        <f t="shared" si="6"/>
        <v>1</v>
      </c>
      <c r="Q29" s="14">
        <f>P29*75</f>
        <v>75</v>
      </c>
      <c r="R29" s="16"/>
      <c r="S29" s="16"/>
      <c r="T29" s="16"/>
      <c r="U29" s="16"/>
      <c r="V29" s="16">
        <v>5</v>
      </c>
      <c r="W29" s="16"/>
      <c r="X29" s="15">
        <f t="shared" si="7"/>
        <v>5</v>
      </c>
      <c r="Y29" s="14">
        <f>X29*75</f>
        <v>375</v>
      </c>
      <c r="Z29" s="16" t="s">
        <v>65</v>
      </c>
      <c r="AA29" s="16">
        <v>10</v>
      </c>
      <c r="AB29" s="16"/>
      <c r="AC29" s="16"/>
      <c r="AD29" s="16"/>
      <c r="AE29" s="16">
        <v>10</v>
      </c>
      <c r="AF29" s="15">
        <f t="shared" si="8"/>
        <v>20</v>
      </c>
      <c r="AG29" s="14">
        <f>AF29*75</f>
        <v>1500</v>
      </c>
      <c r="AH29" s="16"/>
      <c r="AI29" s="16"/>
      <c r="AJ29" s="16"/>
      <c r="AK29" s="16"/>
      <c r="AL29" s="15">
        <f t="shared" si="9"/>
        <v>0</v>
      </c>
      <c r="AM29" s="14">
        <f>AL29*75</f>
        <v>0</v>
      </c>
    </row>
    <row r="30" spans="2:44" x14ac:dyDescent="0.3">
      <c r="B30" s="42" t="s">
        <v>33</v>
      </c>
      <c r="C30" s="16"/>
      <c r="D30" s="16">
        <v>10</v>
      </c>
      <c r="E30" s="16">
        <v>70</v>
      </c>
      <c r="F30" s="16">
        <v>5</v>
      </c>
      <c r="G30" s="16"/>
      <c r="H30" s="15">
        <f t="shared" si="5"/>
        <v>85</v>
      </c>
      <c r="I30" s="14">
        <f>H30*78</f>
        <v>6630</v>
      </c>
      <c r="J30" s="16"/>
      <c r="K30" s="16">
        <v>12</v>
      </c>
      <c r="L30" s="16"/>
      <c r="M30" s="16"/>
      <c r="N30" s="16"/>
      <c r="O30" s="16">
        <v>30</v>
      </c>
      <c r="P30" s="15">
        <f t="shared" si="6"/>
        <v>42</v>
      </c>
      <c r="Q30" s="14">
        <f>P30*78</f>
        <v>3276</v>
      </c>
      <c r="R30" s="16">
        <v>4</v>
      </c>
      <c r="S30" s="16">
        <v>10</v>
      </c>
      <c r="T30" s="16">
        <v>42</v>
      </c>
      <c r="U30" s="16">
        <v>5</v>
      </c>
      <c r="V30" s="16"/>
      <c r="W30" s="16"/>
      <c r="X30" s="15">
        <f t="shared" si="7"/>
        <v>61</v>
      </c>
      <c r="Y30" s="14">
        <f>X30*78</f>
        <v>4758</v>
      </c>
      <c r="Z30" s="16">
        <v>10</v>
      </c>
      <c r="AA30" s="16">
        <v>35</v>
      </c>
      <c r="AB30" s="16">
        <v>30</v>
      </c>
      <c r="AC30" s="16">
        <v>30</v>
      </c>
      <c r="AD30" s="16"/>
      <c r="AE30" s="16">
        <v>31</v>
      </c>
      <c r="AF30" s="15">
        <f t="shared" si="8"/>
        <v>136</v>
      </c>
      <c r="AG30" s="14">
        <f>AF30*78</f>
        <v>10608</v>
      </c>
      <c r="AH30" s="16"/>
      <c r="AI30" s="16"/>
      <c r="AJ30" s="16">
        <v>16</v>
      </c>
      <c r="AK30" s="16"/>
      <c r="AL30" s="15">
        <f t="shared" si="9"/>
        <v>16</v>
      </c>
      <c r="AM30" s="14">
        <f>AL30*78</f>
        <v>1248</v>
      </c>
    </row>
    <row r="31" spans="2:44" x14ac:dyDescent="0.3">
      <c r="B31" s="42" t="s">
        <v>32</v>
      </c>
      <c r="C31" s="16"/>
      <c r="D31" s="16"/>
      <c r="E31" s="16" t="s">
        <v>65</v>
      </c>
      <c r="F31" s="16"/>
      <c r="G31" s="16"/>
      <c r="H31" s="15">
        <f t="shared" si="5"/>
        <v>0</v>
      </c>
      <c r="I31" s="14">
        <f>H31*70</f>
        <v>0</v>
      </c>
      <c r="J31" s="16"/>
      <c r="K31" s="16"/>
      <c r="L31" s="16"/>
      <c r="M31" s="16"/>
      <c r="N31" s="16"/>
      <c r="O31" s="16"/>
      <c r="P31" s="15">
        <f t="shared" si="6"/>
        <v>0</v>
      </c>
      <c r="Q31" s="14">
        <f>P31*70</f>
        <v>0</v>
      </c>
      <c r="R31" s="16"/>
      <c r="S31" s="16"/>
      <c r="T31" s="16"/>
      <c r="U31" s="16"/>
      <c r="V31" s="16"/>
      <c r="W31" s="16"/>
      <c r="X31" s="15">
        <f t="shared" si="7"/>
        <v>0</v>
      </c>
      <c r="Y31" s="14">
        <f>X31*70</f>
        <v>0</v>
      </c>
      <c r="Z31" s="16" t="s">
        <v>65</v>
      </c>
      <c r="AA31" s="16" t="s">
        <v>65</v>
      </c>
      <c r="AB31" s="16"/>
      <c r="AC31" s="16"/>
      <c r="AD31" s="16"/>
      <c r="AE31" s="16"/>
      <c r="AF31" s="15">
        <f t="shared" si="8"/>
        <v>0</v>
      </c>
      <c r="AG31" s="14">
        <f>AF31*70</f>
        <v>0</v>
      </c>
      <c r="AH31" s="16"/>
      <c r="AI31" s="16"/>
      <c r="AJ31" s="16"/>
      <c r="AK31" s="16"/>
      <c r="AL31" s="15">
        <f t="shared" si="9"/>
        <v>0</v>
      </c>
      <c r="AM31" s="14">
        <f>AL31*70</f>
        <v>0</v>
      </c>
    </row>
    <row r="32" spans="2:44" x14ac:dyDescent="0.3">
      <c r="B32" s="42" t="s">
        <v>31</v>
      </c>
      <c r="C32" s="16"/>
      <c r="D32" s="16"/>
      <c r="E32" s="16" t="s">
        <v>65</v>
      </c>
      <c r="F32" s="16"/>
      <c r="G32" s="16"/>
      <c r="H32" s="15">
        <f t="shared" si="5"/>
        <v>0</v>
      </c>
      <c r="I32" s="14">
        <f>H32*60</f>
        <v>0</v>
      </c>
      <c r="J32" s="16"/>
      <c r="K32" s="16"/>
      <c r="L32" s="16"/>
      <c r="M32" s="16"/>
      <c r="N32" s="16"/>
      <c r="O32" s="16"/>
      <c r="P32" s="15">
        <f t="shared" si="6"/>
        <v>0</v>
      </c>
      <c r="Q32" s="14">
        <f>P32*60</f>
        <v>0</v>
      </c>
      <c r="R32" s="16"/>
      <c r="S32" s="16"/>
      <c r="T32" s="16"/>
      <c r="U32" s="16"/>
      <c r="V32" s="16"/>
      <c r="W32" s="16"/>
      <c r="X32" s="15">
        <f t="shared" si="7"/>
        <v>0</v>
      </c>
      <c r="Y32" s="14">
        <f>X32*60</f>
        <v>0</v>
      </c>
      <c r="Z32" s="16" t="s">
        <v>65</v>
      </c>
      <c r="AA32" s="16" t="s">
        <v>65</v>
      </c>
      <c r="AB32" s="16"/>
      <c r="AC32" s="16"/>
      <c r="AD32" s="16"/>
      <c r="AE32" s="16"/>
      <c r="AF32" s="15">
        <f t="shared" si="8"/>
        <v>0</v>
      </c>
      <c r="AG32" s="14">
        <f>AF32*60</f>
        <v>0</v>
      </c>
      <c r="AH32" s="16"/>
      <c r="AI32" s="16"/>
      <c r="AJ32" s="16"/>
      <c r="AK32" s="16"/>
      <c r="AL32" s="15">
        <f t="shared" si="9"/>
        <v>0</v>
      </c>
      <c r="AM32" s="14">
        <f>AL32*60</f>
        <v>0</v>
      </c>
    </row>
    <row r="33" spans="2:43" x14ac:dyDescent="0.3">
      <c r="B33" s="42" t="s">
        <v>30</v>
      </c>
      <c r="C33" s="16"/>
      <c r="D33" s="16"/>
      <c r="E33" s="16" t="s">
        <v>65</v>
      </c>
      <c r="F33" s="16"/>
      <c r="G33" s="16"/>
      <c r="H33" s="15">
        <f t="shared" si="5"/>
        <v>0</v>
      </c>
      <c r="I33" s="14">
        <f>H33*60</f>
        <v>0</v>
      </c>
      <c r="J33" s="16"/>
      <c r="K33" s="16"/>
      <c r="L33" s="16"/>
      <c r="M33" s="16"/>
      <c r="N33" s="16"/>
      <c r="O33" s="16"/>
      <c r="P33" s="15">
        <f t="shared" si="6"/>
        <v>0</v>
      </c>
      <c r="Q33" s="14">
        <f>P33*60</f>
        <v>0</v>
      </c>
      <c r="R33" s="16"/>
      <c r="S33" s="16"/>
      <c r="T33" s="16"/>
      <c r="U33" s="16"/>
      <c r="V33" s="16"/>
      <c r="W33" s="16"/>
      <c r="X33" s="15">
        <f t="shared" si="7"/>
        <v>0</v>
      </c>
      <c r="Y33" s="14">
        <f>X33*60</f>
        <v>0</v>
      </c>
      <c r="Z33" s="16" t="s">
        <v>65</v>
      </c>
      <c r="AA33" s="16" t="s">
        <v>65</v>
      </c>
      <c r="AB33" s="16"/>
      <c r="AC33" s="16"/>
      <c r="AD33" s="16"/>
      <c r="AE33" s="16"/>
      <c r="AF33" s="15">
        <f t="shared" si="8"/>
        <v>0</v>
      </c>
      <c r="AG33" s="14">
        <f>AF33*60</f>
        <v>0</v>
      </c>
      <c r="AH33" s="16"/>
      <c r="AI33" s="16"/>
      <c r="AJ33" s="16"/>
      <c r="AK33" s="16"/>
      <c r="AL33" s="15">
        <f t="shared" si="9"/>
        <v>0</v>
      </c>
      <c r="AM33" s="14">
        <f>AL33*60</f>
        <v>0</v>
      </c>
    </row>
    <row r="34" spans="2:43" x14ac:dyDescent="0.3">
      <c r="B34" s="42" t="s">
        <v>29</v>
      </c>
      <c r="C34" s="16"/>
      <c r="D34" s="16"/>
      <c r="E34" s="16" t="s">
        <v>65</v>
      </c>
      <c r="F34" s="16"/>
      <c r="G34" s="16"/>
      <c r="H34" s="15">
        <f t="shared" si="5"/>
        <v>0</v>
      </c>
      <c r="I34" s="14">
        <f>H34*40</f>
        <v>0</v>
      </c>
      <c r="J34" s="16"/>
      <c r="K34" s="16"/>
      <c r="L34" s="16"/>
      <c r="M34" s="16"/>
      <c r="N34" s="16"/>
      <c r="O34" s="16"/>
      <c r="P34" s="15">
        <f t="shared" si="6"/>
        <v>0</v>
      </c>
      <c r="Q34" s="14">
        <f>P34*40</f>
        <v>0</v>
      </c>
      <c r="R34" s="16"/>
      <c r="S34" s="16"/>
      <c r="T34" s="16"/>
      <c r="U34" s="16"/>
      <c r="V34" s="16"/>
      <c r="W34" s="16"/>
      <c r="X34" s="15">
        <f t="shared" si="7"/>
        <v>0</v>
      </c>
      <c r="Y34" s="14">
        <f>X34*40</f>
        <v>0</v>
      </c>
      <c r="Z34" s="16" t="s">
        <v>65</v>
      </c>
      <c r="AA34" s="16" t="s">
        <v>65</v>
      </c>
      <c r="AB34" s="16"/>
      <c r="AC34" s="16"/>
      <c r="AD34" s="16"/>
      <c r="AE34" s="16"/>
      <c r="AF34" s="15">
        <f t="shared" si="8"/>
        <v>0</v>
      </c>
      <c r="AG34" s="14">
        <f>AF34*40</f>
        <v>0</v>
      </c>
      <c r="AH34" s="16"/>
      <c r="AI34" s="16"/>
      <c r="AJ34" s="16"/>
      <c r="AK34" s="16"/>
      <c r="AL34" s="15">
        <f t="shared" si="9"/>
        <v>0</v>
      </c>
      <c r="AM34" s="14">
        <f>AL34*40</f>
        <v>0</v>
      </c>
    </row>
    <row r="35" spans="2:43" x14ac:dyDescent="0.3">
      <c r="B35" s="42" t="s">
        <v>28</v>
      </c>
      <c r="C35" s="16"/>
      <c r="D35" s="16">
        <v>5</v>
      </c>
      <c r="E35" s="16" t="s">
        <v>65</v>
      </c>
      <c r="F35" s="16"/>
      <c r="G35" s="16">
        <v>10</v>
      </c>
      <c r="H35" s="15">
        <f t="shared" si="5"/>
        <v>15</v>
      </c>
      <c r="I35" s="14">
        <f>H35*40</f>
        <v>600</v>
      </c>
      <c r="J35" s="16">
        <v>80</v>
      </c>
      <c r="K35" s="16"/>
      <c r="L35" s="16"/>
      <c r="M35" s="16"/>
      <c r="N35" s="16"/>
      <c r="O35" s="16"/>
      <c r="P35" s="15">
        <f t="shared" si="6"/>
        <v>80</v>
      </c>
      <c r="Q35" s="14">
        <f>P35*40</f>
        <v>3200</v>
      </c>
      <c r="R35" s="16">
        <v>30</v>
      </c>
      <c r="S35" s="16"/>
      <c r="T35" s="16">
        <v>2</v>
      </c>
      <c r="U35" s="16">
        <v>60</v>
      </c>
      <c r="V35" s="16"/>
      <c r="W35" s="16"/>
      <c r="X35" s="15">
        <f t="shared" si="7"/>
        <v>92</v>
      </c>
      <c r="Y35" s="14">
        <f>X35*40</f>
        <v>3680</v>
      </c>
      <c r="Z35" s="16">
        <v>1</v>
      </c>
      <c r="AA35" s="16"/>
      <c r="AB35" s="16">
        <v>10</v>
      </c>
      <c r="AC35" s="16"/>
      <c r="AD35" s="16"/>
      <c r="AE35" s="16"/>
      <c r="AF35" s="15">
        <f t="shared" si="8"/>
        <v>11</v>
      </c>
      <c r="AG35" s="14">
        <f>AF35*40</f>
        <v>440</v>
      </c>
      <c r="AH35" s="16"/>
      <c r="AI35" s="16"/>
      <c r="AJ35" s="16">
        <v>50</v>
      </c>
      <c r="AK35" s="16">
        <v>10</v>
      </c>
      <c r="AL35" s="15">
        <f t="shared" si="9"/>
        <v>60</v>
      </c>
      <c r="AM35" s="14">
        <f>AL35*40</f>
        <v>2400</v>
      </c>
    </row>
    <row r="36" spans="2:43" x14ac:dyDescent="0.3">
      <c r="B36" s="42" t="s">
        <v>27</v>
      </c>
      <c r="C36" s="16"/>
      <c r="D36" s="16"/>
      <c r="E36" s="16" t="s">
        <v>65</v>
      </c>
      <c r="F36" s="16"/>
      <c r="G36" s="16" t="s">
        <v>65</v>
      </c>
      <c r="H36" s="15">
        <f t="shared" si="5"/>
        <v>0</v>
      </c>
      <c r="I36" s="14">
        <f>H36*76</f>
        <v>0</v>
      </c>
      <c r="J36" s="16"/>
      <c r="K36" s="16"/>
      <c r="L36" s="16"/>
      <c r="M36" s="16"/>
      <c r="N36" s="16"/>
      <c r="O36" s="16"/>
      <c r="P36" s="15">
        <f t="shared" si="6"/>
        <v>0</v>
      </c>
      <c r="Q36" s="14">
        <f>P36*76</f>
        <v>0</v>
      </c>
      <c r="R36" s="16">
        <v>42</v>
      </c>
      <c r="S36" s="16"/>
      <c r="T36" s="16"/>
      <c r="U36" s="16"/>
      <c r="V36" s="16"/>
      <c r="W36" s="16"/>
      <c r="X36" s="15">
        <f t="shared" si="7"/>
        <v>42</v>
      </c>
      <c r="Y36" s="14">
        <f>X36*76</f>
        <v>3192</v>
      </c>
      <c r="Z36" s="16" t="s">
        <v>65</v>
      </c>
      <c r="AA36" s="16" t="s">
        <v>65</v>
      </c>
      <c r="AB36" s="16"/>
      <c r="AC36" s="16"/>
      <c r="AD36" s="16"/>
      <c r="AE36" s="16"/>
      <c r="AF36" s="15">
        <f t="shared" si="8"/>
        <v>0</v>
      </c>
      <c r="AG36" s="14">
        <f>AF36*76</f>
        <v>0</v>
      </c>
      <c r="AH36" s="16"/>
      <c r="AI36" s="16"/>
      <c r="AJ36" s="16"/>
      <c r="AK36" s="16"/>
      <c r="AL36" s="15">
        <f t="shared" si="9"/>
        <v>0</v>
      </c>
      <c r="AM36" s="14">
        <f>AL36*76</f>
        <v>0</v>
      </c>
    </row>
    <row r="37" spans="2:43" x14ac:dyDescent="0.3">
      <c r="B37" s="42" t="s">
        <v>26</v>
      </c>
      <c r="C37" s="16"/>
      <c r="D37" s="16"/>
      <c r="E37" s="16" t="s">
        <v>65</v>
      </c>
      <c r="F37" s="16"/>
      <c r="G37" s="16"/>
      <c r="H37" s="15">
        <f t="shared" si="5"/>
        <v>0</v>
      </c>
      <c r="I37" s="14">
        <f>H37*90</f>
        <v>0</v>
      </c>
      <c r="J37" s="16"/>
      <c r="K37" s="16"/>
      <c r="L37" s="16"/>
      <c r="M37" s="16"/>
      <c r="N37" s="16"/>
      <c r="O37" s="16"/>
      <c r="P37" s="15">
        <f t="shared" si="6"/>
        <v>0</v>
      </c>
      <c r="Q37" s="14">
        <f>P37*90</f>
        <v>0</v>
      </c>
      <c r="R37" s="16"/>
      <c r="S37" s="16"/>
      <c r="T37" s="16"/>
      <c r="U37" s="16"/>
      <c r="V37" s="16"/>
      <c r="W37" s="16"/>
      <c r="X37" s="15">
        <f t="shared" si="7"/>
        <v>0</v>
      </c>
      <c r="Y37" s="14">
        <f>X37*90</f>
        <v>0</v>
      </c>
      <c r="Z37" s="16" t="s">
        <v>65</v>
      </c>
      <c r="AA37" s="16" t="s">
        <v>65</v>
      </c>
      <c r="AB37" s="16"/>
      <c r="AC37" s="16"/>
      <c r="AD37" s="16"/>
      <c r="AE37" s="16"/>
      <c r="AF37" s="15">
        <f t="shared" si="8"/>
        <v>0</v>
      </c>
      <c r="AG37" s="14">
        <f>AF37*90</f>
        <v>0</v>
      </c>
      <c r="AH37" s="16"/>
      <c r="AI37" s="16"/>
      <c r="AJ37" s="16"/>
      <c r="AK37" s="16"/>
      <c r="AL37" s="15">
        <f t="shared" si="9"/>
        <v>0</v>
      </c>
      <c r="AM37" s="14">
        <f>AL37*90</f>
        <v>0</v>
      </c>
    </row>
    <row r="38" spans="2:43" x14ac:dyDescent="0.3">
      <c r="B38" s="42" t="s">
        <v>25</v>
      </c>
      <c r="C38" s="16"/>
      <c r="D38" s="16"/>
      <c r="E38" s="16"/>
      <c r="F38" s="16"/>
      <c r="G38" s="16"/>
      <c r="H38" s="15">
        <f t="shared" si="5"/>
        <v>0</v>
      </c>
      <c r="I38" s="14">
        <f>H38*91</f>
        <v>0</v>
      </c>
      <c r="J38" s="16"/>
      <c r="K38" s="16"/>
      <c r="L38" s="16"/>
      <c r="M38" s="16"/>
      <c r="N38" s="16"/>
      <c r="O38" s="16"/>
      <c r="P38" s="15">
        <f t="shared" si="6"/>
        <v>0</v>
      </c>
      <c r="Q38" s="14">
        <f>P38*91</f>
        <v>0</v>
      </c>
      <c r="R38" s="16">
        <v>15</v>
      </c>
      <c r="S38" s="16"/>
      <c r="T38" s="16"/>
      <c r="U38" s="16"/>
      <c r="V38" s="16"/>
      <c r="W38" s="16"/>
      <c r="X38" s="15">
        <f t="shared" si="7"/>
        <v>15</v>
      </c>
      <c r="Y38" s="14">
        <f>X38*91</f>
        <v>1365</v>
      </c>
      <c r="Z38" s="16" t="s">
        <v>65</v>
      </c>
      <c r="AA38" s="16" t="s">
        <v>65</v>
      </c>
      <c r="AB38" s="16" t="s">
        <v>65</v>
      </c>
      <c r="AC38" s="16" t="s">
        <v>65</v>
      </c>
      <c r="AD38" s="16"/>
      <c r="AE38" s="16"/>
      <c r="AF38" s="15">
        <f t="shared" si="8"/>
        <v>0</v>
      </c>
      <c r="AG38" s="14">
        <f>AF38*91</f>
        <v>0</v>
      </c>
      <c r="AH38" s="16" t="s">
        <v>65</v>
      </c>
      <c r="AI38" s="16" t="s">
        <v>65</v>
      </c>
      <c r="AJ38" s="16"/>
      <c r="AK38" s="16"/>
      <c r="AL38" s="15">
        <f t="shared" si="9"/>
        <v>0</v>
      </c>
      <c r="AM38" s="14">
        <f>AL38*91</f>
        <v>0</v>
      </c>
    </row>
    <row r="39" spans="2:43" x14ac:dyDescent="0.3">
      <c r="B39" s="42" t="s">
        <v>24</v>
      </c>
      <c r="C39" s="16"/>
      <c r="D39" s="16"/>
      <c r="E39" s="16"/>
      <c r="F39" s="16"/>
      <c r="G39" s="16"/>
      <c r="H39" s="15">
        <f t="shared" si="5"/>
        <v>0</v>
      </c>
      <c r="I39" s="14">
        <f>H39*90</f>
        <v>0</v>
      </c>
      <c r="J39" s="16"/>
      <c r="K39" s="16"/>
      <c r="L39" s="16"/>
      <c r="M39" s="16"/>
      <c r="N39" s="16"/>
      <c r="O39" s="16"/>
      <c r="P39" s="15">
        <f t="shared" si="6"/>
        <v>0</v>
      </c>
      <c r="Q39" s="14">
        <f>P39*90</f>
        <v>0</v>
      </c>
      <c r="R39" s="16">
        <v>17</v>
      </c>
      <c r="S39" s="16"/>
      <c r="T39" s="16"/>
      <c r="U39" s="16"/>
      <c r="V39" s="16"/>
      <c r="W39" s="16"/>
      <c r="X39" s="15">
        <f t="shared" si="7"/>
        <v>17</v>
      </c>
      <c r="Y39" s="14">
        <f>X39*90</f>
        <v>1530</v>
      </c>
      <c r="Z39" s="16" t="s">
        <v>65</v>
      </c>
      <c r="AA39" s="16" t="s">
        <v>65</v>
      </c>
      <c r="AB39" s="16" t="s">
        <v>65</v>
      </c>
      <c r="AC39" s="16" t="s">
        <v>65</v>
      </c>
      <c r="AD39" s="16"/>
      <c r="AE39" s="16"/>
      <c r="AF39" s="15">
        <f t="shared" si="8"/>
        <v>0</v>
      </c>
      <c r="AG39" s="14">
        <f>AF39*90</f>
        <v>0</v>
      </c>
      <c r="AH39" s="16" t="s">
        <v>65</v>
      </c>
      <c r="AI39" s="16" t="s">
        <v>65</v>
      </c>
      <c r="AJ39" s="16"/>
      <c r="AK39" s="16"/>
      <c r="AL39" s="15">
        <f t="shared" si="9"/>
        <v>0</v>
      </c>
      <c r="AM39" s="14">
        <f>AL39*90</f>
        <v>0</v>
      </c>
    </row>
    <row r="40" spans="2:43" x14ac:dyDescent="0.3">
      <c r="B40" s="42" t="s">
        <v>23</v>
      </c>
      <c r="C40" s="16"/>
      <c r="D40" s="16"/>
      <c r="E40" s="16"/>
      <c r="F40" s="16"/>
      <c r="G40" s="16"/>
      <c r="H40" s="15">
        <f t="shared" si="5"/>
        <v>0</v>
      </c>
      <c r="I40" s="14">
        <f>H40*76</f>
        <v>0</v>
      </c>
      <c r="J40" s="16"/>
      <c r="K40" s="16"/>
      <c r="L40" s="16"/>
      <c r="M40" s="16"/>
      <c r="N40" s="16"/>
      <c r="O40" s="16"/>
      <c r="P40" s="15">
        <f t="shared" si="6"/>
        <v>0</v>
      </c>
      <c r="Q40" s="14">
        <f>P40*76</f>
        <v>0</v>
      </c>
      <c r="R40" s="16"/>
      <c r="S40" s="16"/>
      <c r="T40" s="16"/>
      <c r="U40" s="16"/>
      <c r="V40" s="16"/>
      <c r="W40" s="16"/>
      <c r="X40" s="15">
        <f t="shared" si="7"/>
        <v>0</v>
      </c>
      <c r="Y40" s="14">
        <f>X40*76</f>
        <v>0</v>
      </c>
      <c r="Z40" s="16" t="s">
        <v>65</v>
      </c>
      <c r="AA40" s="16" t="s">
        <v>65</v>
      </c>
      <c r="AB40" s="16" t="s">
        <v>65</v>
      </c>
      <c r="AC40" s="16" t="s">
        <v>65</v>
      </c>
      <c r="AD40" s="16"/>
      <c r="AE40" s="16"/>
      <c r="AF40" s="15">
        <f t="shared" si="8"/>
        <v>0</v>
      </c>
      <c r="AG40" s="14">
        <f>AF40*76</f>
        <v>0</v>
      </c>
      <c r="AH40" s="16" t="s">
        <v>65</v>
      </c>
      <c r="AI40" s="16" t="s">
        <v>65</v>
      </c>
      <c r="AJ40" s="16"/>
      <c r="AK40" s="16"/>
      <c r="AL40" s="15">
        <f t="shared" si="9"/>
        <v>0</v>
      </c>
      <c r="AM40" s="14">
        <f>AL40*76</f>
        <v>0</v>
      </c>
    </row>
    <row r="41" spans="2:43" x14ac:dyDescent="0.3">
      <c r="B41" s="42" t="s">
        <v>22</v>
      </c>
      <c r="C41" s="16"/>
      <c r="D41" s="16"/>
      <c r="E41" s="16"/>
      <c r="F41" s="16"/>
      <c r="G41" s="16"/>
      <c r="H41" s="15">
        <f t="shared" si="5"/>
        <v>0</v>
      </c>
      <c r="I41" s="14">
        <f>H41*100</f>
        <v>0</v>
      </c>
      <c r="J41" s="16"/>
      <c r="K41" s="16"/>
      <c r="L41" s="16"/>
      <c r="M41" s="16"/>
      <c r="N41" s="16"/>
      <c r="O41" s="16"/>
      <c r="P41" s="15">
        <f t="shared" si="6"/>
        <v>0</v>
      </c>
      <c r="Q41" s="14">
        <f>P41*100</f>
        <v>0</v>
      </c>
      <c r="R41" s="16"/>
      <c r="S41" s="16"/>
      <c r="T41" s="16"/>
      <c r="U41" s="16"/>
      <c r="V41" s="16"/>
      <c r="W41" s="16"/>
      <c r="X41" s="15">
        <f t="shared" si="7"/>
        <v>0</v>
      </c>
      <c r="Y41" s="14">
        <f>X41*100</f>
        <v>0</v>
      </c>
      <c r="Z41" s="16" t="s">
        <v>65</v>
      </c>
      <c r="AA41" s="16" t="s">
        <v>65</v>
      </c>
      <c r="AB41" s="16" t="s">
        <v>65</v>
      </c>
      <c r="AC41" s="16" t="s">
        <v>65</v>
      </c>
      <c r="AD41" s="16"/>
      <c r="AE41" s="16"/>
      <c r="AF41" s="15">
        <f t="shared" si="8"/>
        <v>0</v>
      </c>
      <c r="AG41" s="14">
        <f>AF41*100</f>
        <v>0</v>
      </c>
      <c r="AH41" s="16" t="s">
        <v>65</v>
      </c>
      <c r="AI41" s="16" t="s">
        <v>65</v>
      </c>
      <c r="AJ41" s="16"/>
      <c r="AK41" s="16"/>
      <c r="AL41" s="15">
        <f t="shared" si="9"/>
        <v>0</v>
      </c>
      <c r="AM41" s="14">
        <f>AL41*100</f>
        <v>0</v>
      </c>
    </row>
    <row r="42" spans="2:43" x14ac:dyDescent="0.3">
      <c r="B42" s="42" t="s">
        <v>21</v>
      </c>
      <c r="C42" s="16"/>
      <c r="D42" s="16"/>
      <c r="E42" s="16"/>
      <c r="F42" s="16"/>
      <c r="G42" s="16"/>
      <c r="H42" s="15">
        <f t="shared" si="5"/>
        <v>0</v>
      </c>
      <c r="I42" s="14">
        <f>H42*100</f>
        <v>0</v>
      </c>
      <c r="J42" s="16"/>
      <c r="K42" s="16"/>
      <c r="L42" s="16"/>
      <c r="M42" s="16"/>
      <c r="N42" s="16"/>
      <c r="O42" s="16"/>
      <c r="P42" s="15">
        <f t="shared" si="6"/>
        <v>0</v>
      </c>
      <c r="Q42" s="14">
        <f>P42*100</f>
        <v>0</v>
      </c>
      <c r="R42" s="16"/>
      <c r="S42" s="16"/>
      <c r="T42" s="16"/>
      <c r="U42" s="16"/>
      <c r="V42" s="16"/>
      <c r="W42" s="16"/>
      <c r="X42" s="15">
        <f t="shared" si="7"/>
        <v>0</v>
      </c>
      <c r="Y42" s="14">
        <f>X42*100</f>
        <v>0</v>
      </c>
      <c r="Z42" s="16" t="s">
        <v>65</v>
      </c>
      <c r="AA42" s="16" t="s">
        <v>65</v>
      </c>
      <c r="AB42" s="16" t="s">
        <v>65</v>
      </c>
      <c r="AC42" s="16" t="s">
        <v>65</v>
      </c>
      <c r="AD42" s="16"/>
      <c r="AE42" s="16"/>
      <c r="AF42" s="15">
        <f t="shared" si="8"/>
        <v>0</v>
      </c>
      <c r="AG42" s="14">
        <f>AF42*100</f>
        <v>0</v>
      </c>
      <c r="AH42" s="16" t="s">
        <v>65</v>
      </c>
      <c r="AI42" s="16" t="s">
        <v>65</v>
      </c>
      <c r="AJ42" s="16"/>
      <c r="AK42" s="16"/>
      <c r="AL42" s="15">
        <f t="shared" si="9"/>
        <v>0</v>
      </c>
      <c r="AM42" s="14">
        <f>AL42*100</f>
        <v>0</v>
      </c>
    </row>
    <row r="43" spans="2:43" x14ac:dyDescent="0.3">
      <c r="B43" s="42" t="s">
        <v>20</v>
      </c>
      <c r="C43" s="16"/>
      <c r="D43" s="16"/>
      <c r="E43" s="16"/>
      <c r="F43" s="16"/>
      <c r="G43" s="16"/>
      <c r="H43" s="15">
        <f t="shared" si="5"/>
        <v>0</v>
      </c>
      <c r="I43" s="14">
        <f>H43*78</f>
        <v>0</v>
      </c>
      <c r="J43" s="16"/>
      <c r="K43" s="16"/>
      <c r="L43" s="16"/>
      <c r="M43" s="16"/>
      <c r="N43" s="16"/>
      <c r="O43" s="16"/>
      <c r="P43" s="15">
        <f t="shared" si="6"/>
        <v>0</v>
      </c>
      <c r="Q43" s="14">
        <f>P43*78</f>
        <v>0</v>
      </c>
      <c r="R43" s="16">
        <v>21</v>
      </c>
      <c r="S43" s="16"/>
      <c r="T43" s="16"/>
      <c r="U43" s="16"/>
      <c r="V43" s="16"/>
      <c r="W43" s="16"/>
      <c r="X43" s="15">
        <f t="shared" si="7"/>
        <v>21</v>
      </c>
      <c r="Y43" s="14">
        <f>X43*78</f>
        <v>1638</v>
      </c>
      <c r="Z43" s="16" t="s">
        <v>65</v>
      </c>
      <c r="AA43" s="16" t="s">
        <v>65</v>
      </c>
      <c r="AB43" s="16" t="s">
        <v>65</v>
      </c>
      <c r="AC43" s="16" t="s">
        <v>65</v>
      </c>
      <c r="AD43" s="16"/>
      <c r="AE43" s="16"/>
      <c r="AF43" s="15">
        <f t="shared" si="8"/>
        <v>0</v>
      </c>
      <c r="AG43" s="14">
        <f>AF43*78</f>
        <v>0</v>
      </c>
      <c r="AH43" s="16" t="s">
        <v>65</v>
      </c>
      <c r="AI43" s="16" t="s">
        <v>65</v>
      </c>
      <c r="AJ43" s="16"/>
      <c r="AK43" s="16"/>
      <c r="AL43" s="15">
        <f t="shared" si="9"/>
        <v>0</v>
      </c>
      <c r="AM43" s="14">
        <f>AL43*78</f>
        <v>0</v>
      </c>
    </row>
    <row r="44" spans="2:43" ht="15.6" x14ac:dyDescent="0.3">
      <c r="B44" s="17" t="s">
        <v>19</v>
      </c>
      <c r="C44" s="16"/>
      <c r="D44" s="16"/>
      <c r="E44" s="16">
        <v>30</v>
      </c>
      <c r="F44" s="16"/>
      <c r="G44" s="16"/>
      <c r="H44" s="15">
        <f t="shared" si="5"/>
        <v>30</v>
      </c>
      <c r="I44" s="14">
        <f>H44*92</f>
        <v>2760</v>
      </c>
      <c r="J44" s="16"/>
      <c r="K44" s="16"/>
      <c r="L44" s="16">
        <v>20</v>
      </c>
      <c r="M44" s="16">
        <v>70</v>
      </c>
      <c r="N44" s="16"/>
      <c r="O44" s="16">
        <v>86</v>
      </c>
      <c r="P44" s="15">
        <f>SUM(J44:O44)</f>
        <v>176</v>
      </c>
      <c r="Q44" s="14">
        <f>P44*92</f>
        <v>16192</v>
      </c>
      <c r="R44" s="16"/>
      <c r="S44" s="16">
        <v>60</v>
      </c>
      <c r="T44" s="16"/>
      <c r="U44" s="16">
        <v>50</v>
      </c>
      <c r="V44" s="16">
        <v>7</v>
      </c>
      <c r="W44" s="16"/>
      <c r="X44" s="15">
        <f>SUM(R44:W44)</f>
        <v>117</v>
      </c>
      <c r="Y44" s="14">
        <f>X44*92</f>
        <v>10764</v>
      </c>
      <c r="Z44" s="16">
        <v>80</v>
      </c>
      <c r="AA44" s="16">
        <v>69</v>
      </c>
      <c r="AB44" s="16"/>
      <c r="AC44" s="16">
        <v>19</v>
      </c>
      <c r="AD44" s="16">
        <v>60</v>
      </c>
      <c r="AE44" s="16"/>
      <c r="AF44" s="15">
        <f t="shared" si="8"/>
        <v>228</v>
      </c>
      <c r="AG44" s="14">
        <f>AF44*92</f>
        <v>20976</v>
      </c>
      <c r="AH44" s="16"/>
      <c r="AI44" s="16"/>
      <c r="AJ44" s="16"/>
      <c r="AK44" s="16">
        <v>15</v>
      </c>
      <c r="AL44" s="15">
        <f t="shared" si="9"/>
        <v>15</v>
      </c>
      <c r="AM44" s="14">
        <f>AL44*92</f>
        <v>1380</v>
      </c>
      <c r="AO44" s="41"/>
      <c r="AP44" s="40"/>
    </row>
    <row r="45" spans="2:43" x14ac:dyDescent="0.3">
      <c r="B45" s="17" t="s">
        <v>18</v>
      </c>
      <c r="C45" s="16"/>
      <c r="D45" s="16">
        <v>93</v>
      </c>
      <c r="E45" s="16" t="s">
        <v>65</v>
      </c>
      <c r="F45" s="16"/>
      <c r="G45" s="16"/>
      <c r="H45" s="15">
        <f t="shared" si="5"/>
        <v>93</v>
      </c>
      <c r="I45" s="14">
        <f>H45*95</f>
        <v>8835</v>
      </c>
      <c r="J45" s="16">
        <v>20</v>
      </c>
      <c r="K45" s="16"/>
      <c r="L45" s="16"/>
      <c r="M45" s="16">
        <v>30</v>
      </c>
      <c r="N45" s="16"/>
      <c r="O45" s="16"/>
      <c r="P45" s="15">
        <f t="shared" si="6"/>
        <v>50</v>
      </c>
      <c r="Q45" s="14">
        <f>P45*95</f>
        <v>4750</v>
      </c>
      <c r="R45" s="16"/>
      <c r="S45" s="16"/>
      <c r="T45" s="16">
        <v>18</v>
      </c>
      <c r="U45" s="16"/>
      <c r="V45" s="16"/>
      <c r="W45" s="16"/>
      <c r="X45" s="15">
        <f>SUM(R45:W45)</f>
        <v>18</v>
      </c>
      <c r="Y45" s="14">
        <f>X45*95</f>
        <v>1710</v>
      </c>
      <c r="Z45" s="16"/>
      <c r="AA45" s="16">
        <v>31</v>
      </c>
      <c r="AB45" s="16"/>
      <c r="AC45" s="16"/>
      <c r="AD45" s="16"/>
      <c r="AE45" s="16"/>
      <c r="AF45" s="15">
        <f t="shared" si="8"/>
        <v>31</v>
      </c>
      <c r="AG45" s="14">
        <f>AF45*95</f>
        <v>2945</v>
      </c>
      <c r="AH45" s="16"/>
      <c r="AI45" s="16"/>
      <c r="AJ45" s="16"/>
      <c r="AK45" s="16"/>
      <c r="AL45" s="15">
        <f t="shared" si="9"/>
        <v>0</v>
      </c>
      <c r="AM45" s="14">
        <f>AL45*95</f>
        <v>0</v>
      </c>
    </row>
    <row r="46" spans="2:43" x14ac:dyDescent="0.3">
      <c r="B46" s="17" t="s">
        <v>17</v>
      </c>
      <c r="C46" s="16">
        <v>21</v>
      </c>
      <c r="D46" s="16">
        <v>17</v>
      </c>
      <c r="E46" s="16">
        <v>30</v>
      </c>
      <c r="F46" s="16"/>
      <c r="G46" s="16"/>
      <c r="H46" s="15">
        <f t="shared" si="5"/>
        <v>68</v>
      </c>
      <c r="I46" s="14">
        <f>H46*93</f>
        <v>6324</v>
      </c>
      <c r="J46" s="16">
        <v>10</v>
      </c>
      <c r="K46" s="16">
        <v>25</v>
      </c>
      <c r="L46" s="16">
        <v>30</v>
      </c>
      <c r="M46" s="16"/>
      <c r="N46" s="16"/>
      <c r="O46" s="16"/>
      <c r="P46" s="15">
        <f t="shared" si="6"/>
        <v>65</v>
      </c>
      <c r="Q46" s="14">
        <f>P46*93</f>
        <v>6045</v>
      </c>
      <c r="R46" s="16">
        <v>10</v>
      </c>
      <c r="S46" s="16">
        <v>35</v>
      </c>
      <c r="T46" s="16">
        <v>6</v>
      </c>
      <c r="U46" s="16">
        <v>3</v>
      </c>
      <c r="V46" s="16"/>
      <c r="W46" s="16"/>
      <c r="X46" s="15">
        <f>SUM(R46:W46)</f>
        <v>54</v>
      </c>
      <c r="Y46" s="14">
        <f>X46*93</f>
        <v>5022</v>
      </c>
      <c r="Z46" s="16">
        <v>5</v>
      </c>
      <c r="AA46" s="16">
        <v>20</v>
      </c>
      <c r="AB46" s="16">
        <v>10</v>
      </c>
      <c r="AC46" s="16">
        <v>34</v>
      </c>
      <c r="AD46" s="16">
        <v>31</v>
      </c>
      <c r="AE46" s="16">
        <v>15</v>
      </c>
      <c r="AF46" s="15">
        <f t="shared" si="8"/>
        <v>115</v>
      </c>
      <c r="AG46" s="14">
        <f>AF46*93</f>
        <v>10695</v>
      </c>
      <c r="AH46" s="16"/>
      <c r="AI46" s="16"/>
      <c r="AJ46" s="16">
        <v>6</v>
      </c>
      <c r="AK46" s="16">
        <v>30</v>
      </c>
      <c r="AL46" s="15">
        <f t="shared" si="9"/>
        <v>36</v>
      </c>
      <c r="AM46" s="14">
        <f>AL46*93</f>
        <v>3348</v>
      </c>
    </row>
    <row r="47" spans="2:43" x14ac:dyDescent="0.3">
      <c r="B47" s="17" t="s">
        <v>14</v>
      </c>
      <c r="C47" s="16">
        <v>2</v>
      </c>
      <c r="D47" s="16">
        <v>18</v>
      </c>
      <c r="E47" s="16">
        <v>30</v>
      </c>
      <c r="F47" s="16">
        <v>10</v>
      </c>
      <c r="G47" s="16" t="s">
        <v>65</v>
      </c>
      <c r="H47" s="15">
        <f t="shared" si="5"/>
        <v>60</v>
      </c>
      <c r="I47" s="14">
        <f>H47*52</f>
        <v>3120</v>
      </c>
      <c r="J47" s="16">
        <v>40</v>
      </c>
      <c r="K47" s="16">
        <v>5</v>
      </c>
      <c r="L47" s="16">
        <v>24</v>
      </c>
      <c r="M47" s="16">
        <v>33</v>
      </c>
      <c r="N47" s="16">
        <v>12</v>
      </c>
      <c r="O47" s="16">
        <v>27</v>
      </c>
      <c r="P47" s="15">
        <f t="shared" si="6"/>
        <v>141</v>
      </c>
      <c r="Q47" s="14">
        <f>P47*52</f>
        <v>7332</v>
      </c>
      <c r="R47" s="16">
        <v>3</v>
      </c>
      <c r="S47" s="16">
        <v>50</v>
      </c>
      <c r="T47" s="16">
        <v>26</v>
      </c>
      <c r="U47" s="16">
        <v>60</v>
      </c>
      <c r="V47" s="16">
        <v>45</v>
      </c>
      <c r="W47" s="16"/>
      <c r="X47" s="15">
        <f>SUM(R47:W47)</f>
        <v>184</v>
      </c>
      <c r="Y47" s="14">
        <f>X47*52</f>
        <v>9568</v>
      </c>
      <c r="Z47" s="16">
        <v>23</v>
      </c>
      <c r="AA47" s="16">
        <v>8</v>
      </c>
      <c r="AB47" s="16"/>
      <c r="AC47" s="16">
        <v>36</v>
      </c>
      <c r="AD47" s="16">
        <v>6</v>
      </c>
      <c r="AE47" s="16">
        <v>10</v>
      </c>
      <c r="AF47" s="15">
        <f t="shared" si="8"/>
        <v>83</v>
      </c>
      <c r="AG47" s="14">
        <f>AF47*52</f>
        <v>4316</v>
      </c>
      <c r="AH47" s="16"/>
      <c r="AI47" s="16"/>
      <c r="AJ47" s="16">
        <v>41</v>
      </c>
      <c r="AK47" s="16">
        <v>30</v>
      </c>
      <c r="AL47" s="15">
        <f t="shared" si="9"/>
        <v>71</v>
      </c>
      <c r="AM47" s="14">
        <f>AL47*52</f>
        <v>3692</v>
      </c>
    </row>
    <row r="48" spans="2:43" ht="15.6" x14ac:dyDescent="0.3">
      <c r="C48" s="10"/>
      <c r="D48" s="10"/>
      <c r="E48" s="10"/>
      <c r="F48" s="10"/>
      <c r="G48" s="10"/>
      <c r="H48" s="39">
        <f>SUM(H20:H43)</f>
        <v>502</v>
      </c>
      <c r="I48" s="38">
        <f>SUM(I20:I43)</f>
        <v>40918</v>
      </c>
      <c r="J48" s="10"/>
      <c r="K48" s="10"/>
      <c r="L48" s="10"/>
      <c r="M48" s="10"/>
      <c r="N48" s="10"/>
      <c r="O48" s="10"/>
      <c r="P48" s="39">
        <f>SUM(P20:P43)</f>
        <v>214</v>
      </c>
      <c r="Q48" s="38">
        <f>SUM(Q20:Q43)</f>
        <v>14056</v>
      </c>
      <c r="R48" s="10"/>
      <c r="S48" s="10"/>
      <c r="T48" s="10"/>
      <c r="U48" s="10"/>
      <c r="V48" s="10"/>
      <c r="W48" s="10"/>
      <c r="X48" s="39">
        <f>SUM(X20:X43)</f>
        <v>372</v>
      </c>
      <c r="Y48" s="38">
        <f>SUM(Y20:Y43)</f>
        <v>26501</v>
      </c>
      <c r="Z48" s="10"/>
      <c r="AA48" s="10"/>
      <c r="AB48" s="10"/>
      <c r="AC48" s="10"/>
      <c r="AD48" s="10"/>
      <c r="AE48" s="10"/>
      <c r="AF48" s="39">
        <f>SUM(AF20:AF43)</f>
        <v>415</v>
      </c>
      <c r="AG48" s="38">
        <f>SUM(AG20:AG43)</f>
        <v>36212</v>
      </c>
      <c r="AH48" s="10"/>
      <c r="AI48" s="10"/>
      <c r="AJ48" s="10"/>
      <c r="AK48" s="10"/>
      <c r="AL48" s="39">
        <f>SUM(AL20:AL43)</f>
        <v>116</v>
      </c>
      <c r="AM48" s="38">
        <f>SUM(AM20:AM43)</f>
        <v>7388</v>
      </c>
      <c r="AO48" s="35" t="s">
        <v>15</v>
      </c>
      <c r="AP48" s="37">
        <f>H51+P51+X51+AF51+AL51</f>
        <v>1096</v>
      </c>
      <c r="AQ48" s="30">
        <f>AP49/AP48</f>
        <v>92.833941605839414</v>
      </c>
    </row>
    <row r="49" spans="2:46" ht="15.6" x14ac:dyDescent="0.3">
      <c r="C49" s="32"/>
      <c r="D49" s="32"/>
      <c r="E49" s="32"/>
      <c r="F49" s="32"/>
      <c r="G49" s="32"/>
      <c r="H49" s="36"/>
      <c r="I49" s="11"/>
      <c r="J49" s="32"/>
      <c r="K49" s="32"/>
      <c r="L49" s="32"/>
      <c r="M49" s="32"/>
      <c r="N49" s="32"/>
      <c r="O49" s="32"/>
      <c r="P49" s="36"/>
      <c r="Q49" s="11"/>
      <c r="R49" s="32"/>
      <c r="S49" s="32"/>
      <c r="T49" s="32"/>
      <c r="U49" s="32"/>
      <c r="V49" s="32"/>
      <c r="W49" s="32"/>
      <c r="X49" s="36"/>
      <c r="Y49" s="11"/>
      <c r="Z49" s="32"/>
      <c r="AA49" s="32"/>
      <c r="AB49" s="32"/>
      <c r="AC49" s="32"/>
      <c r="AD49" s="32"/>
      <c r="AE49" s="32"/>
      <c r="AF49" s="36"/>
      <c r="AG49" s="11"/>
      <c r="AH49" s="32"/>
      <c r="AI49" s="32"/>
      <c r="AJ49" s="32"/>
      <c r="AK49" s="32"/>
      <c r="AL49" s="36"/>
      <c r="AM49" s="11"/>
      <c r="AO49" s="35" t="s">
        <v>3</v>
      </c>
      <c r="AP49" s="34">
        <f>Q51+I51+Y51+AG51+AM51</f>
        <v>101746</v>
      </c>
    </row>
    <row r="50" spans="2:46" ht="15.6" x14ac:dyDescent="0.3">
      <c r="B50" s="29" t="s">
        <v>13</v>
      </c>
      <c r="C50" s="32"/>
      <c r="D50" s="32"/>
      <c r="E50" s="32"/>
      <c r="F50" s="32"/>
      <c r="G50" s="32"/>
      <c r="H50" s="4">
        <f>H48+H19</f>
        <v>1441</v>
      </c>
      <c r="I50" s="28">
        <f>I48+I19</f>
        <v>105713</v>
      </c>
      <c r="J50" s="32"/>
      <c r="K50" s="32"/>
      <c r="L50" s="32"/>
      <c r="M50" s="32"/>
      <c r="N50" s="32"/>
      <c r="O50" s="32"/>
      <c r="P50" s="4">
        <f>P48+P19</f>
        <v>1104</v>
      </c>
      <c r="Q50" s="28">
        <f>Q48+Q19</f>
        <v>74575</v>
      </c>
      <c r="R50" s="32"/>
      <c r="S50" s="32"/>
      <c r="T50" s="32"/>
      <c r="U50" s="32"/>
      <c r="V50" s="32"/>
      <c r="W50" s="32"/>
      <c r="X50" s="4">
        <f>X48+X19</f>
        <v>1796</v>
      </c>
      <c r="Y50" s="28">
        <f>Y48+Y19</f>
        <v>131678</v>
      </c>
      <c r="Z50" s="11">
        <f>Y50/X50</f>
        <v>73.317371937639194</v>
      </c>
      <c r="AA50" s="32"/>
      <c r="AB50" s="32"/>
      <c r="AD50" s="32"/>
      <c r="AE50" s="11">
        <f>AG50/AF50</f>
        <v>72.610128126906645</v>
      </c>
      <c r="AF50" s="4">
        <f>AF48+AF19</f>
        <v>1639</v>
      </c>
      <c r="AG50" s="28">
        <f>AG48+AG19</f>
        <v>119008</v>
      </c>
      <c r="AH50" s="32"/>
      <c r="AJ50" s="32"/>
      <c r="AK50" s="11">
        <f>AM50/AL50</f>
        <v>70.601226993865026</v>
      </c>
      <c r="AL50" s="4">
        <f>AL48+AL19</f>
        <v>489</v>
      </c>
      <c r="AM50" s="28">
        <f>AM48+AM19</f>
        <v>34524</v>
      </c>
    </row>
    <row r="51" spans="2:46" ht="15.6" x14ac:dyDescent="0.3">
      <c r="B51" s="29" t="s">
        <v>15</v>
      </c>
      <c r="C51" s="32"/>
      <c r="D51" s="32"/>
      <c r="E51" s="32"/>
      <c r="F51" s="32"/>
      <c r="G51" s="32"/>
      <c r="H51" s="4">
        <f>SUM(H44:H46)</f>
        <v>191</v>
      </c>
      <c r="I51" s="28">
        <f>SUM(I44:I46)</f>
        <v>17919</v>
      </c>
      <c r="J51" s="32"/>
      <c r="K51" s="32"/>
      <c r="L51" s="32"/>
      <c r="M51" s="32"/>
      <c r="N51" s="32"/>
      <c r="O51" s="32"/>
      <c r="P51" s="4">
        <f>SUM(P44:P46)</f>
        <v>291</v>
      </c>
      <c r="Q51" s="28">
        <f>SUM(Q44:Q46)</f>
        <v>26987</v>
      </c>
      <c r="R51" s="32"/>
      <c r="S51" s="32"/>
      <c r="T51" s="32"/>
      <c r="U51" s="32"/>
      <c r="V51" s="32"/>
      <c r="W51" s="32"/>
      <c r="X51" s="4">
        <f>SUM(X44:X46)</f>
        <v>189</v>
      </c>
      <c r="Y51" s="28">
        <f>SUM(Y44:Y46)</f>
        <v>17496</v>
      </c>
      <c r="Z51" s="32"/>
      <c r="AA51" s="32"/>
      <c r="AB51" s="32"/>
      <c r="AC51" s="32"/>
      <c r="AD51" s="32"/>
      <c r="AE51" s="32"/>
      <c r="AF51" s="4">
        <f>SUM(AF44:AF46)</f>
        <v>374</v>
      </c>
      <c r="AG51" s="28">
        <f>SUM(AG44:AG46)</f>
        <v>34616</v>
      </c>
      <c r="AH51" s="32"/>
      <c r="AI51" s="32"/>
      <c r="AJ51" s="32"/>
      <c r="AK51" s="32"/>
      <c r="AL51" s="4">
        <f>SUM(AL44:AL46)</f>
        <v>51</v>
      </c>
      <c r="AM51" s="28">
        <f>SUM(AM44:AM46)</f>
        <v>4728</v>
      </c>
      <c r="AO51" s="27" t="s">
        <v>14</v>
      </c>
      <c r="AP51" s="31">
        <f>P52+H52+X52+AF52+AL52</f>
        <v>539</v>
      </c>
      <c r="AQ51" s="30">
        <f>AP52/AP51</f>
        <v>52</v>
      </c>
    </row>
    <row r="52" spans="2:46" ht="15.6" x14ac:dyDescent="0.3">
      <c r="B52" s="29" t="s">
        <v>14</v>
      </c>
      <c r="H52" s="4">
        <f>H47</f>
        <v>60</v>
      </c>
      <c r="I52" s="28">
        <f>I47</f>
        <v>3120</v>
      </c>
      <c r="P52" s="4">
        <f>P47</f>
        <v>141</v>
      </c>
      <c r="Q52" s="28">
        <f>Q47</f>
        <v>7332</v>
      </c>
      <c r="R52" s="32"/>
      <c r="X52" s="4">
        <f>X47</f>
        <v>184</v>
      </c>
      <c r="Y52" s="28">
        <f>Y47</f>
        <v>9568</v>
      </c>
      <c r="AF52" s="4">
        <f>AF47</f>
        <v>83</v>
      </c>
      <c r="AG52" s="28">
        <f>AG47</f>
        <v>4316</v>
      </c>
      <c r="AL52" s="4">
        <f>AL47</f>
        <v>71</v>
      </c>
      <c r="AM52" s="28">
        <f>AM47</f>
        <v>3692</v>
      </c>
      <c r="AO52" s="27" t="s">
        <v>3</v>
      </c>
      <c r="AP52" s="26">
        <f>Q52+I52+Y52+AG52+AM52</f>
        <v>28028</v>
      </c>
    </row>
    <row r="53" spans="2:46" ht="15.6" x14ac:dyDescent="0.3">
      <c r="Q53">
        <f>SUM(O53:P53)</f>
        <v>0</v>
      </c>
      <c r="R53" s="32">
        <f>Q53*50</f>
        <v>0</v>
      </c>
    </row>
    <row r="55" spans="2:46" s="22" customFormat="1" ht="13.8" customHeight="1" x14ac:dyDescent="0.3">
      <c r="B55" s="25" t="s">
        <v>13</v>
      </c>
      <c r="C55" s="24">
        <v>45839</v>
      </c>
      <c r="D55" s="24">
        <v>45840</v>
      </c>
      <c r="E55" s="24">
        <v>45841</v>
      </c>
      <c r="F55" s="24">
        <v>45842</v>
      </c>
      <c r="G55" s="24">
        <v>45843</v>
      </c>
      <c r="H55" s="23" t="s">
        <v>12</v>
      </c>
      <c r="I55" s="23" t="s">
        <v>11</v>
      </c>
      <c r="J55" s="24">
        <v>45845</v>
      </c>
      <c r="K55" s="24">
        <v>45846</v>
      </c>
      <c r="L55" s="24">
        <v>45847</v>
      </c>
      <c r="M55" s="24">
        <v>45848</v>
      </c>
      <c r="N55" s="24">
        <v>45849</v>
      </c>
      <c r="O55" s="24">
        <v>45850</v>
      </c>
      <c r="P55" s="23" t="s">
        <v>12</v>
      </c>
      <c r="Q55" s="23" t="s">
        <v>11</v>
      </c>
      <c r="R55" s="24">
        <v>45852</v>
      </c>
      <c r="S55" s="24">
        <v>45853</v>
      </c>
      <c r="T55" s="24">
        <v>45854</v>
      </c>
      <c r="U55" s="24">
        <v>45855</v>
      </c>
      <c r="V55" s="24">
        <v>45856</v>
      </c>
      <c r="W55" s="24">
        <v>45857</v>
      </c>
      <c r="X55" s="23" t="s">
        <v>12</v>
      </c>
      <c r="Y55" s="23" t="s">
        <v>11</v>
      </c>
      <c r="Z55" s="24">
        <v>45859</v>
      </c>
      <c r="AA55" s="24">
        <v>45860</v>
      </c>
      <c r="AB55" s="24">
        <v>45861</v>
      </c>
      <c r="AC55" s="24">
        <v>45862</v>
      </c>
      <c r="AD55" s="24">
        <v>45863</v>
      </c>
      <c r="AE55" s="24">
        <v>45864</v>
      </c>
      <c r="AF55" s="23" t="s">
        <v>12</v>
      </c>
      <c r="AG55" s="23" t="s">
        <v>11</v>
      </c>
      <c r="AH55" s="24">
        <v>45866</v>
      </c>
      <c r="AI55" s="24">
        <v>45867</v>
      </c>
      <c r="AJ55" s="24">
        <v>45868</v>
      </c>
      <c r="AK55" s="24">
        <v>45869</v>
      </c>
      <c r="AL55" s="23" t="s">
        <v>12</v>
      </c>
      <c r="AM55" s="23" t="s">
        <v>11</v>
      </c>
    </row>
    <row r="56" spans="2:46" ht="15" customHeight="1" x14ac:dyDescent="0.3">
      <c r="B56" s="17" t="s">
        <v>10</v>
      </c>
      <c r="C56" s="16">
        <v>179</v>
      </c>
      <c r="D56" s="16">
        <v>160</v>
      </c>
      <c r="E56" s="16">
        <v>380</v>
      </c>
      <c r="F56" s="16">
        <v>116</v>
      </c>
      <c r="G56" s="16">
        <v>195</v>
      </c>
      <c r="H56" s="15">
        <f t="shared" ref="H56:H61" si="10">SUM(C56:G56)</f>
        <v>1030</v>
      </c>
      <c r="I56" s="14">
        <f>H56*95</f>
        <v>97850</v>
      </c>
      <c r="J56" s="16">
        <v>205</v>
      </c>
      <c r="K56" s="16">
        <v>154</v>
      </c>
      <c r="L56" s="16">
        <v>140</v>
      </c>
      <c r="M56" s="16">
        <v>170</v>
      </c>
      <c r="N56" s="16">
        <v>255</v>
      </c>
      <c r="O56" s="16">
        <v>242</v>
      </c>
      <c r="P56" s="15">
        <f t="shared" ref="P56:P61" si="11">SUM(J56:O56)</f>
        <v>1166</v>
      </c>
      <c r="Q56" s="14">
        <f>P56*95</f>
        <v>110770</v>
      </c>
      <c r="R56" s="16">
        <v>93</v>
      </c>
      <c r="S56" s="16">
        <v>320</v>
      </c>
      <c r="T56" s="16">
        <v>195</v>
      </c>
      <c r="U56" s="16">
        <v>190</v>
      </c>
      <c r="V56" s="16">
        <v>230</v>
      </c>
      <c r="W56" s="16">
        <v>145</v>
      </c>
      <c r="X56" s="15">
        <f t="shared" ref="X56:X61" si="12">SUM(R56:W56)</f>
        <v>1173</v>
      </c>
      <c r="Y56" s="14">
        <f>X56*95</f>
        <v>111435</v>
      </c>
      <c r="Z56" s="16">
        <v>146</v>
      </c>
      <c r="AA56" s="16">
        <v>194</v>
      </c>
      <c r="AB56" s="16">
        <v>80</v>
      </c>
      <c r="AC56" s="16">
        <v>320</v>
      </c>
      <c r="AD56" s="16">
        <v>105</v>
      </c>
      <c r="AE56" s="16">
        <v>290</v>
      </c>
      <c r="AF56" s="15">
        <f t="shared" ref="AF56:AF61" si="13">SUM(Z56:AE56)</f>
        <v>1135</v>
      </c>
      <c r="AG56" s="14">
        <f>AF56*95</f>
        <v>107825</v>
      </c>
      <c r="AH56" s="16"/>
      <c r="AI56" s="16"/>
      <c r="AJ56" s="16">
        <v>186</v>
      </c>
      <c r="AK56" s="16">
        <v>150</v>
      </c>
      <c r="AL56" s="15">
        <f t="shared" ref="AL56:AL61" si="14">SUM(AH56:AK56)</f>
        <v>336</v>
      </c>
      <c r="AM56" s="14">
        <f>AL56*95</f>
        <v>31920</v>
      </c>
    </row>
    <row r="57" spans="2:46" x14ac:dyDescent="0.3">
      <c r="B57" s="17" t="s">
        <v>9</v>
      </c>
      <c r="C57" s="16">
        <v>251</v>
      </c>
      <c r="D57" s="16">
        <v>140</v>
      </c>
      <c r="E57" s="16">
        <v>350</v>
      </c>
      <c r="F57" s="16">
        <v>797</v>
      </c>
      <c r="G57" s="16">
        <v>155</v>
      </c>
      <c r="H57" s="15">
        <f t="shared" si="10"/>
        <v>1693</v>
      </c>
      <c r="I57" s="14">
        <f>H57*93</f>
        <v>157449</v>
      </c>
      <c r="J57" s="16">
        <v>145</v>
      </c>
      <c r="K57" s="16">
        <v>197</v>
      </c>
      <c r="L57" s="16">
        <v>195</v>
      </c>
      <c r="M57" s="16">
        <v>235</v>
      </c>
      <c r="N57" s="16">
        <v>240</v>
      </c>
      <c r="O57" s="16">
        <v>157</v>
      </c>
      <c r="P57" s="15">
        <f t="shared" si="11"/>
        <v>1169</v>
      </c>
      <c r="Q57" s="14">
        <f>P57*93</f>
        <v>108717</v>
      </c>
      <c r="R57" s="16">
        <v>59</v>
      </c>
      <c r="S57" s="16">
        <v>560</v>
      </c>
      <c r="T57" s="16">
        <v>332</v>
      </c>
      <c r="U57" s="16">
        <v>217</v>
      </c>
      <c r="V57" s="16">
        <v>220</v>
      </c>
      <c r="W57" s="16">
        <v>148</v>
      </c>
      <c r="X57" s="15">
        <f t="shared" si="12"/>
        <v>1536</v>
      </c>
      <c r="Y57" s="14">
        <f>X57*93</f>
        <v>142848</v>
      </c>
      <c r="Z57" s="16">
        <v>150</v>
      </c>
      <c r="AA57" s="16">
        <v>205</v>
      </c>
      <c r="AB57" s="16">
        <v>90</v>
      </c>
      <c r="AC57" s="16">
        <v>371</v>
      </c>
      <c r="AD57" s="16">
        <v>200</v>
      </c>
      <c r="AE57" s="16">
        <v>272</v>
      </c>
      <c r="AF57" s="15">
        <f t="shared" si="13"/>
        <v>1288</v>
      </c>
      <c r="AG57" s="14">
        <f>AF57*93</f>
        <v>119784</v>
      </c>
      <c r="AH57" s="16"/>
      <c r="AI57" s="16"/>
      <c r="AJ57" s="16">
        <v>227</v>
      </c>
      <c r="AK57" s="16">
        <v>150</v>
      </c>
      <c r="AL57" s="15">
        <f t="shared" si="14"/>
        <v>377</v>
      </c>
      <c r="AM57" s="14">
        <f>AL57*93</f>
        <v>35061</v>
      </c>
    </row>
    <row r="58" spans="2:46" ht="15.6" x14ac:dyDescent="0.3">
      <c r="B58" s="17" t="s">
        <v>8</v>
      </c>
      <c r="C58" s="16">
        <v>40</v>
      </c>
      <c r="D58" s="16">
        <v>43</v>
      </c>
      <c r="E58" s="16">
        <v>70</v>
      </c>
      <c r="F58" s="16">
        <v>8</v>
      </c>
      <c r="G58" s="16">
        <v>15</v>
      </c>
      <c r="H58" s="15">
        <f t="shared" si="10"/>
        <v>176</v>
      </c>
      <c r="I58" s="14">
        <f>H58*95</f>
        <v>16720</v>
      </c>
      <c r="J58" s="16">
        <v>20</v>
      </c>
      <c r="K58" s="16">
        <v>14</v>
      </c>
      <c r="L58" s="16">
        <v>15</v>
      </c>
      <c r="M58" s="16">
        <v>40</v>
      </c>
      <c r="N58" s="16">
        <v>45</v>
      </c>
      <c r="O58" s="16">
        <v>197</v>
      </c>
      <c r="P58" s="15">
        <f t="shared" si="11"/>
        <v>331</v>
      </c>
      <c r="Q58" s="14">
        <f>P58*95</f>
        <v>31445</v>
      </c>
      <c r="R58" s="16">
        <v>7</v>
      </c>
      <c r="S58" s="16">
        <v>78</v>
      </c>
      <c r="T58" s="16">
        <v>20</v>
      </c>
      <c r="U58" s="16">
        <v>108</v>
      </c>
      <c r="V58" s="16">
        <v>50</v>
      </c>
      <c r="W58" s="16">
        <v>20</v>
      </c>
      <c r="X58" s="15">
        <f t="shared" si="12"/>
        <v>283</v>
      </c>
      <c r="Y58" s="14">
        <f>X58*95</f>
        <v>26885</v>
      </c>
      <c r="Z58" s="16">
        <v>3</v>
      </c>
      <c r="AA58" s="16">
        <v>42</v>
      </c>
      <c r="AB58" s="16">
        <v>12</v>
      </c>
      <c r="AC58" s="16">
        <v>49</v>
      </c>
      <c r="AD58" s="16">
        <v>36</v>
      </c>
      <c r="AE58" s="16">
        <v>37</v>
      </c>
      <c r="AF58" s="15">
        <f t="shared" si="13"/>
        <v>179</v>
      </c>
      <c r="AG58" s="14">
        <f>AF58*95</f>
        <v>17005</v>
      </c>
      <c r="AH58" s="16"/>
      <c r="AI58" s="16"/>
      <c r="AJ58" s="16">
        <v>74</v>
      </c>
      <c r="AK58" s="16">
        <v>11</v>
      </c>
      <c r="AL58" s="15">
        <f t="shared" si="14"/>
        <v>85</v>
      </c>
      <c r="AM58" s="14">
        <f>AL58*95</f>
        <v>8075</v>
      </c>
      <c r="AO58" s="19" t="s">
        <v>7</v>
      </c>
      <c r="AP58" s="21">
        <f>H64+P64+X64+AF64+AL64</f>
        <v>11957</v>
      </c>
      <c r="AQ58" s="11">
        <f>AP59/AP58</f>
        <v>93.985866019904662</v>
      </c>
      <c r="AT58">
        <f>ABRIL!AO58-JULIO!AP58</f>
        <v>-1528</v>
      </c>
    </row>
    <row r="59" spans="2:46" ht="15.6" x14ac:dyDescent="0.3">
      <c r="B59" s="17" t="s">
        <v>6</v>
      </c>
      <c r="C59" s="16"/>
      <c r="D59" s="16">
        <v>11</v>
      </c>
      <c r="E59" s="16">
        <v>5</v>
      </c>
      <c r="F59" s="16" t="s">
        <v>65</v>
      </c>
      <c r="G59" s="16"/>
      <c r="H59" s="15">
        <f t="shared" si="10"/>
        <v>16</v>
      </c>
      <c r="I59" s="14">
        <f>H59*79</f>
        <v>1264</v>
      </c>
      <c r="J59" s="16" t="s">
        <v>65</v>
      </c>
      <c r="K59" s="16">
        <v>5</v>
      </c>
      <c r="L59" s="16">
        <v>3</v>
      </c>
      <c r="M59" s="16">
        <v>2</v>
      </c>
      <c r="N59" s="16"/>
      <c r="O59" s="16">
        <v>1</v>
      </c>
      <c r="P59" s="15">
        <f t="shared" si="11"/>
        <v>11</v>
      </c>
      <c r="Q59" s="14">
        <f>P59*79</f>
        <v>869</v>
      </c>
      <c r="R59" s="16">
        <v>2</v>
      </c>
      <c r="S59" s="16"/>
      <c r="T59" s="16" t="s">
        <v>65</v>
      </c>
      <c r="U59" s="16">
        <v>5</v>
      </c>
      <c r="V59" s="16">
        <v>8</v>
      </c>
      <c r="W59" s="16" t="s">
        <v>65</v>
      </c>
      <c r="X59" s="15">
        <f t="shared" si="12"/>
        <v>15</v>
      </c>
      <c r="Y59" s="14">
        <f>X59*79</f>
        <v>1185</v>
      </c>
      <c r="Z59" s="16">
        <v>2</v>
      </c>
      <c r="AA59" s="16"/>
      <c r="AB59" s="16">
        <v>1</v>
      </c>
      <c r="AC59" s="16">
        <v>2</v>
      </c>
      <c r="AD59" s="16" t="s">
        <v>65</v>
      </c>
      <c r="AE59" s="16">
        <v>1</v>
      </c>
      <c r="AF59" s="15">
        <f t="shared" si="13"/>
        <v>6</v>
      </c>
      <c r="AG59" s="14">
        <f>AF59*79</f>
        <v>474</v>
      </c>
      <c r="AH59" s="16"/>
      <c r="AI59" s="16"/>
      <c r="AJ59" s="16">
        <v>3</v>
      </c>
      <c r="AK59" s="16">
        <v>5</v>
      </c>
      <c r="AL59" s="15">
        <f t="shared" si="14"/>
        <v>8</v>
      </c>
      <c r="AM59" s="14">
        <f>AL59*79</f>
        <v>632</v>
      </c>
      <c r="AO59" s="19" t="s">
        <v>3</v>
      </c>
      <c r="AP59" s="18">
        <f>I64+Q64+Y64+AG64+AM64</f>
        <v>1123789</v>
      </c>
    </row>
    <row r="60" spans="2:46" x14ac:dyDescent="0.3">
      <c r="B60" s="17" t="s">
        <v>4</v>
      </c>
      <c r="C60" s="16">
        <v>15</v>
      </c>
      <c r="D60" s="16">
        <v>64</v>
      </c>
      <c r="E60" s="16">
        <v>55</v>
      </c>
      <c r="F60" s="16">
        <v>30</v>
      </c>
      <c r="G60" s="16">
        <v>10</v>
      </c>
      <c r="H60" s="15">
        <f t="shared" si="10"/>
        <v>174</v>
      </c>
      <c r="I60" s="14">
        <f>H60*100</f>
        <v>17400</v>
      </c>
      <c r="J60" s="16">
        <v>40</v>
      </c>
      <c r="K60" s="16">
        <v>16</v>
      </c>
      <c r="L60" s="16"/>
      <c r="M60" s="16">
        <v>75</v>
      </c>
      <c r="N60" s="16">
        <v>370</v>
      </c>
      <c r="O60" s="16">
        <v>47</v>
      </c>
      <c r="P60" s="15">
        <f t="shared" si="11"/>
        <v>548</v>
      </c>
      <c r="Q60" s="14">
        <f>P60*100</f>
        <v>54800</v>
      </c>
      <c r="R60" s="16">
        <v>76</v>
      </c>
      <c r="S60" s="16">
        <v>50</v>
      </c>
      <c r="T60" s="16">
        <v>38</v>
      </c>
      <c r="U60" s="16">
        <v>42</v>
      </c>
      <c r="V60" s="16">
        <v>25</v>
      </c>
      <c r="W60" s="16">
        <v>60</v>
      </c>
      <c r="X60" s="15">
        <f t="shared" si="12"/>
        <v>291</v>
      </c>
      <c r="Y60" s="14">
        <f>X60*100</f>
        <v>29100</v>
      </c>
      <c r="Z60" s="16">
        <v>49</v>
      </c>
      <c r="AA60" s="16">
        <v>14</v>
      </c>
      <c r="AB60" s="16">
        <v>54</v>
      </c>
      <c r="AC60" s="16">
        <v>105</v>
      </c>
      <c r="AD60" s="16">
        <v>153</v>
      </c>
      <c r="AE60" s="16">
        <v>17</v>
      </c>
      <c r="AF60" s="15">
        <f t="shared" si="13"/>
        <v>392</v>
      </c>
      <c r="AG60" s="14">
        <f>AF60*100</f>
        <v>39200</v>
      </c>
      <c r="AH60" s="16"/>
      <c r="AI60" s="16"/>
      <c r="AJ60" s="16">
        <v>25</v>
      </c>
      <c r="AK60" s="16">
        <v>5</v>
      </c>
      <c r="AL60" s="15">
        <f t="shared" si="14"/>
        <v>30</v>
      </c>
      <c r="AM60" s="14">
        <f>AL60*100</f>
        <v>3000</v>
      </c>
    </row>
    <row r="61" spans="2:46" ht="15.6" x14ac:dyDescent="0.3">
      <c r="B61" s="17" t="s">
        <v>5</v>
      </c>
      <c r="C61" s="16"/>
      <c r="D61" s="16"/>
      <c r="E61" s="16"/>
      <c r="F61" s="16"/>
      <c r="G61" s="16"/>
      <c r="H61" s="15">
        <f t="shared" si="10"/>
        <v>0</v>
      </c>
      <c r="I61" s="14">
        <f>H61*115</f>
        <v>0</v>
      </c>
      <c r="J61" s="16"/>
      <c r="K61" s="16"/>
      <c r="L61" s="16"/>
      <c r="M61" s="16" t="s">
        <v>65</v>
      </c>
      <c r="N61" s="16">
        <v>40</v>
      </c>
      <c r="O61" s="16">
        <v>1</v>
      </c>
      <c r="P61" s="15">
        <f t="shared" si="11"/>
        <v>41</v>
      </c>
      <c r="Q61" s="14">
        <f>P61*89</f>
        <v>3649</v>
      </c>
      <c r="R61" s="16">
        <v>5</v>
      </c>
      <c r="S61" s="16" t="s">
        <v>66</v>
      </c>
      <c r="T61" s="16"/>
      <c r="U61" s="16"/>
      <c r="V61" s="16"/>
      <c r="W61" s="16"/>
      <c r="X61" s="15">
        <f t="shared" si="12"/>
        <v>5</v>
      </c>
      <c r="Y61" s="14">
        <f>X61*115</f>
        <v>575</v>
      </c>
      <c r="Z61" s="16"/>
      <c r="AA61" s="16"/>
      <c r="AB61" s="16"/>
      <c r="AC61" s="16"/>
      <c r="AD61" s="16"/>
      <c r="AE61" s="16"/>
      <c r="AF61" s="15">
        <f t="shared" si="13"/>
        <v>0</v>
      </c>
      <c r="AG61" s="14">
        <f>AF61*115</f>
        <v>0</v>
      </c>
      <c r="AH61" s="16"/>
      <c r="AI61" s="16"/>
      <c r="AJ61" s="16"/>
      <c r="AK61" s="16"/>
      <c r="AL61" s="15">
        <f t="shared" si="14"/>
        <v>0</v>
      </c>
      <c r="AM61" s="14">
        <f>AL61*115</f>
        <v>0</v>
      </c>
      <c r="AO61" s="13" t="s">
        <v>4</v>
      </c>
      <c r="AP61" s="12">
        <f>H60+P60+X60+AF60+AL60</f>
        <v>1435</v>
      </c>
      <c r="AQ61" s="11">
        <f>AP62/AP61</f>
        <v>100</v>
      </c>
    </row>
    <row r="62" spans="2:46" ht="15.6" x14ac:dyDescent="0.3">
      <c r="C62" s="10"/>
      <c r="D62" s="10"/>
      <c r="E62" s="10"/>
      <c r="F62" s="10"/>
      <c r="G62" s="10"/>
      <c r="H62" s="9">
        <f>SUM(H56:H61)</f>
        <v>3089</v>
      </c>
      <c r="I62" s="8">
        <f>SUM(I56:I61)</f>
        <v>290683</v>
      </c>
      <c r="J62" s="10"/>
      <c r="K62" s="10"/>
      <c r="L62" s="10"/>
      <c r="M62" s="10"/>
      <c r="N62" s="10"/>
      <c r="O62" s="10"/>
      <c r="P62" s="9">
        <f>SUM(P56:P61)</f>
        <v>3266</v>
      </c>
      <c r="Q62" s="8">
        <f>SUM(Q56:Q61)</f>
        <v>310250</v>
      </c>
      <c r="R62" s="10"/>
      <c r="S62" s="10"/>
      <c r="T62" s="10"/>
      <c r="U62" s="10"/>
      <c r="V62" s="10"/>
      <c r="W62" s="10"/>
      <c r="X62" s="9">
        <f>SUM(X56:X61)</f>
        <v>3303</v>
      </c>
      <c r="Y62" s="8">
        <f>SUM(Y56:Y61)</f>
        <v>312028</v>
      </c>
      <c r="Z62" s="10"/>
      <c r="AA62" s="10"/>
      <c r="AB62" s="10"/>
      <c r="AC62" s="10"/>
      <c r="AD62" s="10"/>
      <c r="AE62" s="10"/>
      <c r="AF62" s="9">
        <f>SUM(AF56:AF61)</f>
        <v>3000</v>
      </c>
      <c r="AG62" s="8">
        <f>SUM(AG56:AG61)</f>
        <v>284288</v>
      </c>
      <c r="AH62" s="10"/>
      <c r="AI62" s="10"/>
      <c r="AJ62" s="10"/>
      <c r="AK62" s="10"/>
      <c r="AL62" s="9">
        <f>SUM(AL56:AL61)</f>
        <v>836</v>
      </c>
      <c r="AM62" s="8">
        <f>SUM(AM56:AM61)</f>
        <v>78688</v>
      </c>
      <c r="AO62" s="7" t="s">
        <v>3</v>
      </c>
      <c r="AP62" s="6">
        <f>AG60+I60+Q60+Y60+AM60</f>
        <v>143500</v>
      </c>
    </row>
    <row r="64" spans="2:46" ht="15.6" x14ac:dyDescent="0.3">
      <c r="H64" s="4">
        <f>H56+H57+H58</f>
        <v>2899</v>
      </c>
      <c r="I64" s="3">
        <f>I56+I57+I58</f>
        <v>272019</v>
      </c>
      <c r="P64" s="4">
        <f>P56+P57+P58</f>
        <v>2666</v>
      </c>
      <c r="Q64" s="3">
        <f>Q56+Q57+Q58</f>
        <v>250932</v>
      </c>
      <c r="X64" s="4">
        <f>X56+X57+X58</f>
        <v>2992</v>
      </c>
      <c r="Y64" s="3">
        <f>Y56+Y57+Y58</f>
        <v>281168</v>
      </c>
      <c r="AF64" s="4">
        <f>AF56+AF57+AF58</f>
        <v>2602</v>
      </c>
      <c r="AG64" s="3">
        <f>AG56+AG57+AG58</f>
        <v>244614</v>
      </c>
      <c r="AL64" s="4">
        <f>AL56+AL57+AL58</f>
        <v>798</v>
      </c>
      <c r="AM64" s="3">
        <f>AM56+AM57+AM58</f>
        <v>75056</v>
      </c>
    </row>
    <row r="66" spans="41:42" x14ac:dyDescent="0.3">
      <c r="AO66" s="2" t="s">
        <v>1</v>
      </c>
      <c r="AP66" s="1">
        <f>AP62+AP59+AP20</f>
        <v>1732787</v>
      </c>
    </row>
  </sheetData>
  <mergeCells count="2">
    <mergeCell ref="AT3:AU3"/>
    <mergeCell ref="AO24:AP24"/>
  </mergeCells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0C2C-3C46-4899-9F25-E2DF17FB6A51}">
  <dimension ref="B3:AT66"/>
  <sheetViews>
    <sheetView zoomScale="110" zoomScaleNormal="110" workbookViewId="0">
      <pane xSplit="2" ySplit="3" topLeftCell="AJ7" activePane="bottomRight" state="frozen"/>
      <selection activeCell="Q19" sqref="Q19"/>
      <selection pane="topRight" activeCell="Q19" sqref="Q19"/>
      <selection pane="bottomLeft" activeCell="Q19" sqref="Q19"/>
      <selection pane="bottomRight" activeCell="AO15" sqref="AO15"/>
    </sheetView>
  </sheetViews>
  <sheetFormatPr baseColWidth="10" defaultRowHeight="14.4" x14ac:dyDescent="0.3"/>
  <cols>
    <col min="1" max="1" width="5.6640625" customWidth="1"/>
    <col min="2" max="2" width="18.33203125" customWidth="1"/>
    <col min="5" max="5" width="13.33203125" customWidth="1"/>
    <col min="6" max="6" width="16.109375" customWidth="1"/>
    <col min="13" max="13" width="13.33203125" customWidth="1"/>
    <col min="14" max="14" width="16.109375" customWidth="1"/>
    <col min="21" max="21" width="13.33203125" customWidth="1"/>
    <col min="22" max="22" width="16.109375" customWidth="1"/>
    <col min="29" max="29" width="13.33203125" customWidth="1"/>
    <col min="30" max="30" width="20.21875" customWidth="1"/>
    <col min="31" max="32" width="11.5546875" customWidth="1"/>
    <col min="37" max="37" width="13.33203125" customWidth="1"/>
    <col min="38" max="38" width="20.21875" customWidth="1"/>
    <col min="39" max="39" width="6.5546875" customWidth="1"/>
    <col min="40" max="40" width="15.33203125" customWidth="1"/>
    <col min="41" max="41" width="19.109375" customWidth="1"/>
    <col min="42" max="42" width="13.88671875" customWidth="1"/>
    <col min="44" max="44" width="9.77734375" customWidth="1"/>
    <col min="45" max="45" width="17.109375" customWidth="1"/>
    <col min="46" max="46" width="16.77734375" customWidth="1"/>
  </cols>
  <sheetData>
    <row r="3" spans="2:46" s="22" customFormat="1" ht="13.8" customHeight="1" x14ac:dyDescent="0.3">
      <c r="B3" s="25" t="s">
        <v>13</v>
      </c>
      <c r="C3" s="24">
        <v>45870</v>
      </c>
      <c r="D3" s="24">
        <v>45871</v>
      </c>
      <c r="E3" s="23" t="s">
        <v>63</v>
      </c>
      <c r="F3" s="23" t="s">
        <v>11</v>
      </c>
      <c r="G3" s="24">
        <v>45873</v>
      </c>
      <c r="H3" s="24">
        <v>45874</v>
      </c>
      <c r="I3" s="24">
        <v>45875</v>
      </c>
      <c r="J3" s="24">
        <v>45876</v>
      </c>
      <c r="K3" s="24">
        <v>45877</v>
      </c>
      <c r="L3" s="24">
        <v>45878</v>
      </c>
      <c r="M3" s="23" t="s">
        <v>63</v>
      </c>
      <c r="N3" s="23" t="s">
        <v>11</v>
      </c>
      <c r="O3" s="24">
        <v>45880</v>
      </c>
      <c r="P3" s="24">
        <v>45881</v>
      </c>
      <c r="Q3" s="24">
        <v>45882</v>
      </c>
      <c r="R3" s="24">
        <v>45883</v>
      </c>
      <c r="S3" s="24">
        <v>45884</v>
      </c>
      <c r="T3" s="24">
        <v>45885</v>
      </c>
      <c r="U3" s="23" t="s">
        <v>63</v>
      </c>
      <c r="V3" s="23" t="s">
        <v>11</v>
      </c>
      <c r="W3" s="24">
        <v>45887</v>
      </c>
      <c r="X3" s="24">
        <v>45888</v>
      </c>
      <c r="Y3" s="24">
        <v>45889</v>
      </c>
      <c r="Z3" s="24">
        <v>45890</v>
      </c>
      <c r="AA3" s="24">
        <v>45891</v>
      </c>
      <c r="AB3" s="24">
        <v>45892</v>
      </c>
      <c r="AC3" s="23" t="s">
        <v>63</v>
      </c>
      <c r="AD3" s="23" t="s">
        <v>11</v>
      </c>
      <c r="AE3" s="24">
        <v>45894</v>
      </c>
      <c r="AF3" s="24">
        <v>45895</v>
      </c>
      <c r="AG3" s="24">
        <v>45896</v>
      </c>
      <c r="AH3" s="24">
        <v>45897</v>
      </c>
      <c r="AI3" s="24">
        <v>45898</v>
      </c>
      <c r="AJ3" s="24">
        <v>45899</v>
      </c>
      <c r="AK3" s="23" t="s">
        <v>63</v>
      </c>
      <c r="AL3" s="23" t="s">
        <v>11</v>
      </c>
      <c r="AS3" s="68" t="s">
        <v>74</v>
      </c>
      <c r="AT3" s="69"/>
    </row>
    <row r="4" spans="2:46" ht="15.6" customHeight="1" x14ac:dyDescent="0.3">
      <c r="B4" s="17" t="s">
        <v>62</v>
      </c>
      <c r="C4" s="16">
        <v>61</v>
      </c>
      <c r="D4" s="16">
        <v>33</v>
      </c>
      <c r="E4" s="15">
        <f>SUM(C4:D4)</f>
        <v>94</v>
      </c>
      <c r="F4" s="14">
        <f>E4*60</f>
        <v>5640</v>
      </c>
      <c r="G4" s="16">
        <v>25</v>
      </c>
      <c r="H4" s="16">
        <v>39</v>
      </c>
      <c r="I4" s="16">
        <v>31</v>
      </c>
      <c r="J4" s="16" t="s">
        <v>65</v>
      </c>
      <c r="K4" s="16">
        <v>16</v>
      </c>
      <c r="L4" s="16">
        <v>26</v>
      </c>
      <c r="M4" s="15">
        <f>SUM(G4:L4)</f>
        <v>137</v>
      </c>
      <c r="N4" s="14">
        <v>80</v>
      </c>
      <c r="O4" s="16">
        <v>42</v>
      </c>
      <c r="P4" s="16">
        <v>11</v>
      </c>
      <c r="Q4" s="16">
        <v>23</v>
      </c>
      <c r="R4" s="16">
        <v>42</v>
      </c>
      <c r="S4" s="16">
        <v>84</v>
      </c>
      <c r="T4" s="16" t="s">
        <v>65</v>
      </c>
      <c r="U4" s="15">
        <f>SUM(O4:T4)</f>
        <v>202</v>
      </c>
      <c r="V4" s="14">
        <f>U4*60</f>
        <v>12120</v>
      </c>
      <c r="W4" s="16">
        <v>5</v>
      </c>
      <c r="X4" s="16">
        <v>3</v>
      </c>
      <c r="Y4" s="16">
        <v>40</v>
      </c>
      <c r="Z4" s="16">
        <v>93</v>
      </c>
      <c r="AA4" s="16">
        <v>38</v>
      </c>
      <c r="AB4" s="16"/>
      <c r="AC4" s="15">
        <f>SUM(W4:AB4)</f>
        <v>179</v>
      </c>
      <c r="AD4" s="14">
        <f>AC4*60</f>
        <v>10740</v>
      </c>
      <c r="AE4" s="10">
        <v>5</v>
      </c>
      <c r="AF4" s="16">
        <v>60</v>
      </c>
      <c r="AG4" s="16">
        <v>20</v>
      </c>
      <c r="AH4" s="16">
        <v>10</v>
      </c>
      <c r="AI4" s="16">
        <v>30</v>
      </c>
      <c r="AJ4" s="62"/>
      <c r="AK4" s="15">
        <f>SUM(AE4:AJ4)</f>
        <v>125</v>
      </c>
      <c r="AL4" s="14">
        <f>AK4*60</f>
        <v>7500</v>
      </c>
      <c r="AS4" s="60" t="s">
        <v>48</v>
      </c>
      <c r="AT4" s="48">
        <f>AO19</f>
        <v>5192</v>
      </c>
    </row>
    <row r="5" spans="2:46" ht="15.6" x14ac:dyDescent="0.3">
      <c r="B5" s="17" t="s">
        <v>61</v>
      </c>
      <c r="C5" s="16">
        <v>55</v>
      </c>
      <c r="D5" s="16">
        <v>52</v>
      </c>
      <c r="E5" s="15">
        <f>SUM(C5:D5)</f>
        <v>107</v>
      </c>
      <c r="F5" s="14">
        <f>E5*60</f>
        <v>6420</v>
      </c>
      <c r="G5" s="16">
        <v>15</v>
      </c>
      <c r="H5" s="16">
        <v>15</v>
      </c>
      <c r="I5" s="16">
        <v>64</v>
      </c>
      <c r="J5" s="16" t="s">
        <v>65</v>
      </c>
      <c r="K5" s="16">
        <v>10</v>
      </c>
      <c r="L5" s="16">
        <v>40</v>
      </c>
      <c r="M5" s="15">
        <f t="shared" ref="M5:M18" si="0">SUM(G5:L5)</f>
        <v>144</v>
      </c>
      <c r="N5" s="14">
        <v>21</v>
      </c>
      <c r="O5" s="16">
        <v>21</v>
      </c>
      <c r="P5" s="16">
        <v>15</v>
      </c>
      <c r="Q5" s="16">
        <v>31</v>
      </c>
      <c r="R5" s="16">
        <v>16</v>
      </c>
      <c r="S5" s="16">
        <v>50</v>
      </c>
      <c r="T5" s="16">
        <v>11</v>
      </c>
      <c r="U5" s="15">
        <f t="shared" ref="U5:U18" si="1">SUM(O5:T5)</f>
        <v>144</v>
      </c>
      <c r="V5" s="14">
        <f>U5*60</f>
        <v>8640</v>
      </c>
      <c r="W5" s="16" t="s">
        <v>65</v>
      </c>
      <c r="X5" s="16">
        <v>22</v>
      </c>
      <c r="Y5" s="16">
        <v>37</v>
      </c>
      <c r="Z5" s="16">
        <v>23</v>
      </c>
      <c r="AA5" s="16">
        <v>23</v>
      </c>
      <c r="AB5" s="16"/>
      <c r="AC5" s="15">
        <f t="shared" ref="AC5:AC18" si="2">SUM(W5:AB5)</f>
        <v>105</v>
      </c>
      <c r="AD5" s="14">
        <f>AC5*60</f>
        <v>6300</v>
      </c>
      <c r="AE5" s="16">
        <v>14</v>
      </c>
      <c r="AF5" s="16">
        <v>41</v>
      </c>
      <c r="AG5" s="16">
        <v>15</v>
      </c>
      <c r="AH5" s="16">
        <v>13</v>
      </c>
      <c r="AI5" s="16">
        <v>99</v>
      </c>
      <c r="AJ5" s="62"/>
      <c r="AK5" s="15">
        <f t="shared" ref="AK5:AK18" si="3">SUM(AE5:AJ5)</f>
        <v>182</v>
      </c>
      <c r="AL5" s="14">
        <f>AK5*60</f>
        <v>10920</v>
      </c>
      <c r="AS5" s="60" t="s">
        <v>3</v>
      </c>
      <c r="AT5" s="46">
        <f>AO20</f>
        <v>292333</v>
      </c>
    </row>
    <row r="6" spans="2:46" ht="15.6" x14ac:dyDescent="0.3">
      <c r="B6" s="17" t="s">
        <v>60</v>
      </c>
      <c r="C6" s="16" t="s">
        <v>65</v>
      </c>
      <c r="D6" s="16" t="s">
        <v>65</v>
      </c>
      <c r="E6" s="15">
        <f t="shared" ref="E6:E18" si="4">SUM(C6:D6)</f>
        <v>0</v>
      </c>
      <c r="F6" s="14">
        <f>E6*61</f>
        <v>0</v>
      </c>
      <c r="G6" s="16">
        <v>1</v>
      </c>
      <c r="H6" s="16">
        <v>1</v>
      </c>
      <c r="I6" s="16">
        <v>25</v>
      </c>
      <c r="J6" s="16" t="s">
        <v>65</v>
      </c>
      <c r="K6" s="16">
        <v>5</v>
      </c>
      <c r="L6" s="16" t="s">
        <v>65</v>
      </c>
      <c r="M6" s="15">
        <f t="shared" si="0"/>
        <v>32</v>
      </c>
      <c r="N6" s="14">
        <v>10</v>
      </c>
      <c r="O6" s="16">
        <v>1</v>
      </c>
      <c r="P6" s="16">
        <v>1</v>
      </c>
      <c r="Q6" s="16">
        <v>12</v>
      </c>
      <c r="R6" s="16">
        <v>2</v>
      </c>
      <c r="S6" s="16">
        <v>10</v>
      </c>
      <c r="T6" s="16">
        <v>11</v>
      </c>
      <c r="U6" s="15">
        <f t="shared" si="1"/>
        <v>37</v>
      </c>
      <c r="V6" s="14">
        <f>U6*61</f>
        <v>2257</v>
      </c>
      <c r="W6" s="16" t="s">
        <v>65</v>
      </c>
      <c r="X6" s="16" t="s">
        <v>65</v>
      </c>
      <c r="Y6" s="16" t="s">
        <v>65</v>
      </c>
      <c r="Z6" s="16">
        <v>5</v>
      </c>
      <c r="AA6" s="16">
        <v>3</v>
      </c>
      <c r="AB6" s="16"/>
      <c r="AC6" s="15">
        <f t="shared" si="2"/>
        <v>8</v>
      </c>
      <c r="AD6" s="14">
        <f>AC6*61</f>
        <v>488</v>
      </c>
      <c r="AE6" s="16" t="s">
        <v>65</v>
      </c>
      <c r="AF6" s="16">
        <v>10</v>
      </c>
      <c r="AG6" s="16" t="s">
        <v>65</v>
      </c>
      <c r="AH6" s="16">
        <v>1</v>
      </c>
      <c r="AI6" s="16">
        <v>5</v>
      </c>
      <c r="AJ6" s="62"/>
      <c r="AK6" s="15">
        <f t="shared" si="3"/>
        <v>16</v>
      </c>
      <c r="AL6" s="14">
        <f>AK6*61</f>
        <v>976</v>
      </c>
      <c r="AS6" s="59" t="s">
        <v>15</v>
      </c>
      <c r="AT6" s="37">
        <f>AO48</f>
        <v>1060</v>
      </c>
    </row>
    <row r="7" spans="2:46" ht="15.6" x14ac:dyDescent="0.3">
      <c r="B7" s="17" t="s">
        <v>59</v>
      </c>
      <c r="C7" s="16" t="s">
        <v>65</v>
      </c>
      <c r="D7" s="16">
        <v>30</v>
      </c>
      <c r="E7" s="15">
        <f t="shared" si="4"/>
        <v>30</v>
      </c>
      <c r="F7" s="14">
        <f>E7*60</f>
        <v>1800</v>
      </c>
      <c r="G7" s="16" t="s">
        <v>65</v>
      </c>
      <c r="H7" s="16">
        <v>20</v>
      </c>
      <c r="I7" s="16" t="s">
        <v>65</v>
      </c>
      <c r="J7" s="16" t="s">
        <v>65</v>
      </c>
      <c r="K7" s="16">
        <v>10</v>
      </c>
      <c r="L7" s="16" t="s">
        <v>65</v>
      </c>
      <c r="M7" s="15">
        <f t="shared" si="0"/>
        <v>30</v>
      </c>
      <c r="N7" s="14">
        <v>24</v>
      </c>
      <c r="O7" s="16">
        <v>35</v>
      </c>
      <c r="P7" s="16">
        <v>10</v>
      </c>
      <c r="Q7" s="16">
        <v>31</v>
      </c>
      <c r="R7" s="16">
        <v>2</v>
      </c>
      <c r="S7" s="16">
        <v>30</v>
      </c>
      <c r="T7" s="16">
        <v>1</v>
      </c>
      <c r="U7" s="15">
        <f t="shared" si="1"/>
        <v>109</v>
      </c>
      <c r="V7" s="14">
        <f>U7*60</f>
        <v>6540</v>
      </c>
      <c r="W7" s="16" t="s">
        <v>65</v>
      </c>
      <c r="X7" s="16" t="s">
        <v>65</v>
      </c>
      <c r="Y7" s="16">
        <v>16</v>
      </c>
      <c r="Z7" s="16">
        <v>10</v>
      </c>
      <c r="AA7" s="16">
        <v>2</v>
      </c>
      <c r="AB7" s="16"/>
      <c r="AC7" s="15">
        <f t="shared" si="2"/>
        <v>28</v>
      </c>
      <c r="AD7" s="14">
        <f>AC7*60</f>
        <v>1680</v>
      </c>
      <c r="AE7" s="16">
        <v>5</v>
      </c>
      <c r="AF7" s="16">
        <v>9</v>
      </c>
      <c r="AG7" s="16" t="s">
        <v>65</v>
      </c>
      <c r="AH7" s="16">
        <v>30</v>
      </c>
      <c r="AI7" s="16">
        <v>11</v>
      </c>
      <c r="AJ7" s="62"/>
      <c r="AK7" s="15">
        <f t="shared" si="3"/>
        <v>55</v>
      </c>
      <c r="AL7" s="14">
        <f>AK7*60</f>
        <v>3300</v>
      </c>
      <c r="AS7" s="59" t="s">
        <v>3</v>
      </c>
      <c r="AT7" s="34">
        <f>AO49</f>
        <v>91160</v>
      </c>
    </row>
    <row r="8" spans="2:46" ht="15.6" x14ac:dyDescent="0.3">
      <c r="B8" s="17" t="s">
        <v>58</v>
      </c>
      <c r="C8" s="16" t="s">
        <v>65</v>
      </c>
      <c r="D8" s="16">
        <v>55</v>
      </c>
      <c r="E8" s="15">
        <f t="shared" si="4"/>
        <v>55</v>
      </c>
      <c r="F8" s="14">
        <f>E8*60</f>
        <v>3300</v>
      </c>
      <c r="G8" s="16">
        <v>25</v>
      </c>
      <c r="H8" s="16">
        <v>3</v>
      </c>
      <c r="I8" s="16">
        <v>11</v>
      </c>
      <c r="J8" s="16" t="s">
        <v>65</v>
      </c>
      <c r="K8" s="16">
        <v>19</v>
      </c>
      <c r="L8" s="16">
        <v>10</v>
      </c>
      <c r="M8" s="15">
        <f t="shared" si="0"/>
        <v>68</v>
      </c>
      <c r="N8" s="14">
        <v>32</v>
      </c>
      <c r="O8" s="16">
        <v>30</v>
      </c>
      <c r="P8" s="16">
        <v>30</v>
      </c>
      <c r="Q8" s="16">
        <v>16</v>
      </c>
      <c r="R8" s="16">
        <v>2</v>
      </c>
      <c r="S8" s="16">
        <v>60</v>
      </c>
      <c r="T8" s="16">
        <v>6</v>
      </c>
      <c r="U8" s="15">
        <f t="shared" si="1"/>
        <v>144</v>
      </c>
      <c r="V8" s="14">
        <f>U8*60</f>
        <v>8640</v>
      </c>
      <c r="W8" s="16">
        <v>20</v>
      </c>
      <c r="X8" s="16" t="s">
        <v>65</v>
      </c>
      <c r="Y8" s="16">
        <v>1</v>
      </c>
      <c r="Z8" s="16">
        <v>8</v>
      </c>
      <c r="AA8" s="16">
        <v>4</v>
      </c>
      <c r="AB8" s="16">
        <v>10</v>
      </c>
      <c r="AC8" s="15">
        <f t="shared" si="2"/>
        <v>43</v>
      </c>
      <c r="AD8" s="14">
        <f>AC8*60</f>
        <v>2580</v>
      </c>
      <c r="AE8" s="16">
        <v>10</v>
      </c>
      <c r="AF8" s="16">
        <v>17</v>
      </c>
      <c r="AG8" s="16">
        <v>10</v>
      </c>
      <c r="AH8" s="16" t="s">
        <v>65</v>
      </c>
      <c r="AI8" s="16" t="s">
        <v>65</v>
      </c>
      <c r="AJ8" s="62"/>
      <c r="AK8" s="15">
        <f t="shared" si="3"/>
        <v>37</v>
      </c>
      <c r="AL8" s="14">
        <f>AK8*60</f>
        <v>2220</v>
      </c>
      <c r="AS8" s="58" t="s">
        <v>14</v>
      </c>
      <c r="AT8" s="31">
        <f>AO51</f>
        <v>642</v>
      </c>
    </row>
    <row r="9" spans="2:46" ht="15.6" x14ac:dyDescent="0.3">
      <c r="B9" s="17" t="s">
        <v>57</v>
      </c>
      <c r="C9" s="16">
        <v>10</v>
      </c>
      <c r="D9" s="16">
        <v>1</v>
      </c>
      <c r="E9" s="15">
        <f t="shared" si="4"/>
        <v>11</v>
      </c>
      <c r="F9" s="14">
        <f>E9*60</f>
        <v>660</v>
      </c>
      <c r="G9" s="16" t="s">
        <v>65</v>
      </c>
      <c r="H9" s="16">
        <v>1</v>
      </c>
      <c r="I9" s="16">
        <v>7</v>
      </c>
      <c r="J9" s="16">
        <v>10</v>
      </c>
      <c r="K9" s="16">
        <v>5</v>
      </c>
      <c r="L9" s="16">
        <v>1</v>
      </c>
      <c r="M9" s="15">
        <f t="shared" si="0"/>
        <v>24</v>
      </c>
      <c r="N9" s="14">
        <v>2</v>
      </c>
      <c r="O9" s="16">
        <v>2</v>
      </c>
      <c r="P9" s="16">
        <v>10</v>
      </c>
      <c r="Q9" s="16" t="s">
        <v>65</v>
      </c>
      <c r="R9" s="16">
        <v>3</v>
      </c>
      <c r="S9" s="16">
        <v>10</v>
      </c>
      <c r="T9" s="16" t="s">
        <v>65</v>
      </c>
      <c r="U9" s="15">
        <f t="shared" si="1"/>
        <v>25</v>
      </c>
      <c r="V9" s="14">
        <f>U9*60</f>
        <v>1500</v>
      </c>
      <c r="W9" s="16"/>
      <c r="X9" s="16" t="s">
        <v>65</v>
      </c>
      <c r="Y9" s="16" t="s">
        <v>65</v>
      </c>
      <c r="Z9" s="16">
        <v>6</v>
      </c>
      <c r="AA9" s="16">
        <v>2</v>
      </c>
      <c r="AB9" s="16">
        <v>20</v>
      </c>
      <c r="AC9" s="15">
        <f t="shared" si="2"/>
        <v>28</v>
      </c>
      <c r="AD9" s="14">
        <f>AC9*60</f>
        <v>1680</v>
      </c>
      <c r="AE9" s="16" t="s">
        <v>65</v>
      </c>
      <c r="AF9" s="16">
        <v>18</v>
      </c>
      <c r="AG9" s="16">
        <v>5</v>
      </c>
      <c r="AH9" s="16">
        <v>1</v>
      </c>
      <c r="AI9" s="16" t="s">
        <v>65</v>
      </c>
      <c r="AJ9" s="62"/>
      <c r="AK9" s="15">
        <f t="shared" si="3"/>
        <v>24</v>
      </c>
      <c r="AL9" s="14">
        <f>AK9*60</f>
        <v>1440</v>
      </c>
      <c r="AS9" s="58" t="s">
        <v>3</v>
      </c>
      <c r="AT9" s="26">
        <f>AO52</f>
        <v>22784</v>
      </c>
    </row>
    <row r="10" spans="2:46" ht="15.6" x14ac:dyDescent="0.3">
      <c r="B10" s="17" t="s">
        <v>56</v>
      </c>
      <c r="C10" s="16">
        <v>2</v>
      </c>
      <c r="D10" s="16">
        <v>8</v>
      </c>
      <c r="E10" s="15">
        <f t="shared" si="4"/>
        <v>10</v>
      </c>
      <c r="F10" s="14">
        <f>E10*60</f>
        <v>600</v>
      </c>
      <c r="G10" s="16" t="s">
        <v>65</v>
      </c>
      <c r="H10" s="16">
        <v>11</v>
      </c>
      <c r="I10" s="16">
        <v>12</v>
      </c>
      <c r="J10" s="16">
        <v>10</v>
      </c>
      <c r="K10" s="16">
        <v>5</v>
      </c>
      <c r="L10" s="16">
        <v>25</v>
      </c>
      <c r="M10" s="15">
        <f t="shared" si="0"/>
        <v>63</v>
      </c>
      <c r="N10" s="14">
        <v>1</v>
      </c>
      <c r="O10" s="16">
        <v>19</v>
      </c>
      <c r="P10" s="16">
        <v>11</v>
      </c>
      <c r="Q10" s="16">
        <v>6</v>
      </c>
      <c r="R10" s="16">
        <v>7</v>
      </c>
      <c r="S10" s="16">
        <v>10</v>
      </c>
      <c r="T10" s="16">
        <v>1</v>
      </c>
      <c r="U10" s="15">
        <f t="shared" si="1"/>
        <v>54</v>
      </c>
      <c r="V10" s="14">
        <f>U10*60</f>
        <v>3240</v>
      </c>
      <c r="W10" s="16">
        <v>18</v>
      </c>
      <c r="X10" s="16" t="s">
        <v>65</v>
      </c>
      <c r="Y10" s="16">
        <v>2</v>
      </c>
      <c r="Z10" s="16">
        <v>16</v>
      </c>
      <c r="AA10" s="16">
        <v>2</v>
      </c>
      <c r="AB10" s="16">
        <v>5</v>
      </c>
      <c r="AC10" s="15">
        <f t="shared" si="2"/>
        <v>43</v>
      </c>
      <c r="AD10" s="14">
        <f>AC10*60</f>
        <v>2580</v>
      </c>
      <c r="AE10" s="16">
        <v>3</v>
      </c>
      <c r="AF10" s="16">
        <v>16</v>
      </c>
      <c r="AG10" s="16">
        <v>10</v>
      </c>
      <c r="AH10" s="16">
        <v>6</v>
      </c>
      <c r="AI10" s="16">
        <v>36</v>
      </c>
      <c r="AJ10" s="62"/>
      <c r="AK10" s="15">
        <f t="shared" si="3"/>
        <v>71</v>
      </c>
      <c r="AL10" s="14">
        <f>AK10*60</f>
        <v>4260</v>
      </c>
      <c r="AS10" s="57" t="s">
        <v>7</v>
      </c>
      <c r="AT10" s="21">
        <f>AO58</f>
        <v>11252</v>
      </c>
    </row>
    <row r="11" spans="2:46" ht="15.6" x14ac:dyDescent="0.3">
      <c r="B11" s="17" t="s">
        <v>55</v>
      </c>
      <c r="C11" s="16" t="s">
        <v>65</v>
      </c>
      <c r="D11" s="16" t="s">
        <v>65</v>
      </c>
      <c r="E11" s="15">
        <f t="shared" si="4"/>
        <v>0</v>
      </c>
      <c r="F11" s="14">
        <f>E11*65</f>
        <v>0</v>
      </c>
      <c r="G11" s="16">
        <v>10</v>
      </c>
      <c r="H11" s="16">
        <v>11</v>
      </c>
      <c r="I11" s="16">
        <v>1</v>
      </c>
      <c r="J11" s="16">
        <v>1</v>
      </c>
      <c r="K11" s="16"/>
      <c r="L11" s="16" t="s">
        <v>65</v>
      </c>
      <c r="M11" s="15">
        <f t="shared" si="0"/>
        <v>23</v>
      </c>
      <c r="N11" s="14" t="s">
        <v>65</v>
      </c>
      <c r="O11" s="16" t="s">
        <v>65</v>
      </c>
      <c r="P11" s="16">
        <v>10</v>
      </c>
      <c r="Q11" s="16" t="s">
        <v>65</v>
      </c>
      <c r="R11" s="16" t="s">
        <v>65</v>
      </c>
      <c r="S11" s="16">
        <v>7</v>
      </c>
      <c r="T11" s="16">
        <v>6</v>
      </c>
      <c r="U11" s="15">
        <f t="shared" si="1"/>
        <v>23</v>
      </c>
      <c r="V11" s="14">
        <f>U11*65</f>
        <v>1495</v>
      </c>
      <c r="W11" s="16" t="s">
        <v>65</v>
      </c>
      <c r="X11" s="16">
        <v>5</v>
      </c>
      <c r="Y11" s="16">
        <v>3</v>
      </c>
      <c r="Z11" s="16" t="s">
        <v>65</v>
      </c>
      <c r="AA11" s="16">
        <v>11</v>
      </c>
      <c r="AB11" s="16"/>
      <c r="AC11" s="15">
        <f t="shared" si="2"/>
        <v>19</v>
      </c>
      <c r="AD11" s="14">
        <f>AC11*65</f>
        <v>1235</v>
      </c>
      <c r="AE11" s="16">
        <v>5</v>
      </c>
      <c r="AF11" s="16" t="s">
        <v>65</v>
      </c>
      <c r="AG11" s="16" t="s">
        <v>65</v>
      </c>
      <c r="AH11" s="16" t="s">
        <v>65</v>
      </c>
      <c r="AI11" s="16" t="s">
        <v>65</v>
      </c>
      <c r="AJ11" s="62"/>
      <c r="AK11" s="15">
        <f t="shared" si="3"/>
        <v>5</v>
      </c>
      <c r="AL11" s="14">
        <f>AK11*65</f>
        <v>325</v>
      </c>
      <c r="AS11" s="57" t="s">
        <v>3</v>
      </c>
      <c r="AT11" s="18">
        <f>AO59</f>
        <v>784962</v>
      </c>
    </row>
    <row r="12" spans="2:46" ht="15.6" x14ac:dyDescent="0.3">
      <c r="B12" s="17" t="s">
        <v>54</v>
      </c>
      <c r="C12" s="16">
        <v>1</v>
      </c>
      <c r="D12" s="16">
        <v>2</v>
      </c>
      <c r="E12" s="15">
        <f t="shared" si="4"/>
        <v>3</v>
      </c>
      <c r="F12" s="14">
        <f>E12*65</f>
        <v>195</v>
      </c>
      <c r="G12" s="16">
        <v>21</v>
      </c>
      <c r="H12" s="16">
        <v>22</v>
      </c>
      <c r="I12" s="16"/>
      <c r="J12" s="16">
        <v>1</v>
      </c>
      <c r="K12" s="16"/>
      <c r="L12" s="16" t="s">
        <v>65</v>
      </c>
      <c r="M12" s="15">
        <f t="shared" si="0"/>
        <v>44</v>
      </c>
      <c r="N12" s="14">
        <v>2</v>
      </c>
      <c r="O12" s="16" t="s">
        <v>65</v>
      </c>
      <c r="P12" s="16">
        <v>1</v>
      </c>
      <c r="Q12" s="16">
        <v>11</v>
      </c>
      <c r="R12" s="16" t="s">
        <v>65</v>
      </c>
      <c r="S12" s="16">
        <v>5</v>
      </c>
      <c r="T12" s="16">
        <v>1</v>
      </c>
      <c r="U12" s="15">
        <f t="shared" si="1"/>
        <v>18</v>
      </c>
      <c r="V12" s="14">
        <f>U12*65</f>
        <v>1170</v>
      </c>
      <c r="W12" s="20" t="s">
        <v>65</v>
      </c>
      <c r="X12" s="16">
        <v>2</v>
      </c>
      <c r="Y12" s="16">
        <v>3</v>
      </c>
      <c r="Z12" s="16">
        <v>2</v>
      </c>
      <c r="AA12" s="16">
        <v>5</v>
      </c>
      <c r="AB12" s="16"/>
      <c r="AC12" s="15">
        <f t="shared" si="2"/>
        <v>12</v>
      </c>
      <c r="AD12" s="14">
        <f>AC12*65</f>
        <v>780</v>
      </c>
      <c r="AE12" s="16">
        <v>2</v>
      </c>
      <c r="AF12" s="16">
        <v>2</v>
      </c>
      <c r="AG12" s="16" t="s">
        <v>65</v>
      </c>
      <c r="AH12" s="16">
        <v>1</v>
      </c>
      <c r="AI12" s="16">
        <v>1</v>
      </c>
      <c r="AJ12" s="62"/>
      <c r="AK12" s="15">
        <f t="shared" si="3"/>
        <v>6</v>
      </c>
      <c r="AL12" s="14">
        <f>AK12*65</f>
        <v>390</v>
      </c>
      <c r="AS12" s="56" t="s">
        <v>4</v>
      </c>
      <c r="AT12" s="12">
        <f>AO61</f>
        <v>1607</v>
      </c>
    </row>
    <row r="13" spans="2:46" ht="15.6" x14ac:dyDescent="0.3">
      <c r="B13" s="17" t="s">
        <v>40</v>
      </c>
      <c r="C13" s="16">
        <v>11</v>
      </c>
      <c r="D13" s="16">
        <v>19</v>
      </c>
      <c r="E13" s="15">
        <f t="shared" si="4"/>
        <v>30</v>
      </c>
      <c r="F13" s="14">
        <f>E13*95</f>
        <v>2850</v>
      </c>
      <c r="G13" s="16">
        <v>30</v>
      </c>
      <c r="H13" s="16">
        <v>72</v>
      </c>
      <c r="I13" s="16">
        <v>52</v>
      </c>
      <c r="J13" s="16">
        <v>70</v>
      </c>
      <c r="K13" s="16">
        <v>45</v>
      </c>
      <c r="L13" s="16">
        <v>11</v>
      </c>
      <c r="M13" s="15">
        <f t="shared" si="0"/>
        <v>280</v>
      </c>
      <c r="N13" s="14">
        <v>88</v>
      </c>
      <c r="O13" s="16">
        <v>60</v>
      </c>
      <c r="P13" s="16">
        <v>35</v>
      </c>
      <c r="Q13" s="16">
        <v>32</v>
      </c>
      <c r="R13" s="16">
        <v>16</v>
      </c>
      <c r="S13" s="16" t="s">
        <v>65</v>
      </c>
      <c r="T13" s="16">
        <v>12</v>
      </c>
      <c r="U13" s="15">
        <f t="shared" si="1"/>
        <v>155</v>
      </c>
      <c r="V13" s="14">
        <f>U13*95</f>
        <v>14725</v>
      </c>
      <c r="W13" s="16">
        <v>20</v>
      </c>
      <c r="X13" s="16" t="s">
        <v>65</v>
      </c>
      <c r="Y13" s="16">
        <v>4</v>
      </c>
      <c r="Z13" s="16">
        <v>15</v>
      </c>
      <c r="AA13" s="16">
        <v>71</v>
      </c>
      <c r="AB13" s="16">
        <v>28</v>
      </c>
      <c r="AC13" s="15">
        <f t="shared" si="2"/>
        <v>138</v>
      </c>
      <c r="AD13" s="14">
        <f>AC13*95</f>
        <v>13110</v>
      </c>
      <c r="AE13" s="16">
        <v>2</v>
      </c>
      <c r="AF13" s="16">
        <v>99</v>
      </c>
      <c r="AG13" s="16">
        <v>20</v>
      </c>
      <c r="AH13" s="16">
        <v>10</v>
      </c>
      <c r="AI13" s="16">
        <v>37</v>
      </c>
      <c r="AJ13" s="62"/>
      <c r="AK13" s="15">
        <f t="shared" si="3"/>
        <v>168</v>
      </c>
      <c r="AL13" s="14">
        <f>AK13*95</f>
        <v>15960</v>
      </c>
      <c r="AS13" s="55" t="s">
        <v>3</v>
      </c>
      <c r="AT13" s="6">
        <f>AO62</f>
        <v>124434</v>
      </c>
    </row>
    <row r="14" spans="2:46" x14ac:dyDescent="0.3">
      <c r="B14" s="17" t="s">
        <v>53</v>
      </c>
      <c r="C14" s="16">
        <v>1</v>
      </c>
      <c r="D14" s="16">
        <v>25</v>
      </c>
      <c r="E14" s="15">
        <f t="shared" si="4"/>
        <v>26</v>
      </c>
      <c r="F14" s="14">
        <f>E14*105</f>
        <v>2730</v>
      </c>
      <c r="G14" s="16" t="s">
        <v>65</v>
      </c>
      <c r="H14" s="16">
        <v>42</v>
      </c>
      <c r="I14" s="16">
        <v>27</v>
      </c>
      <c r="J14" s="16">
        <v>10</v>
      </c>
      <c r="K14" s="16"/>
      <c r="L14" s="16">
        <v>1</v>
      </c>
      <c r="M14" s="15">
        <f t="shared" si="0"/>
        <v>80</v>
      </c>
      <c r="N14" s="14">
        <v>3</v>
      </c>
      <c r="O14" s="16">
        <v>37</v>
      </c>
      <c r="P14" s="16">
        <v>10</v>
      </c>
      <c r="Q14" s="16">
        <v>17</v>
      </c>
      <c r="R14" s="16">
        <v>20</v>
      </c>
      <c r="S14" s="16">
        <v>55</v>
      </c>
      <c r="T14" s="16">
        <v>20</v>
      </c>
      <c r="U14" s="15">
        <f t="shared" si="1"/>
        <v>159</v>
      </c>
      <c r="V14" s="14">
        <f>U14*105</f>
        <v>16695</v>
      </c>
      <c r="W14" s="16">
        <v>20</v>
      </c>
      <c r="X14" s="16">
        <v>1</v>
      </c>
      <c r="Y14" s="16">
        <v>2</v>
      </c>
      <c r="Z14" s="16">
        <v>5</v>
      </c>
      <c r="AA14" s="16">
        <v>31</v>
      </c>
      <c r="AB14" s="16">
        <v>20</v>
      </c>
      <c r="AC14" s="15">
        <f t="shared" si="2"/>
        <v>79</v>
      </c>
      <c r="AD14" s="14">
        <f>AC14*105</f>
        <v>8295</v>
      </c>
      <c r="AE14" s="16">
        <v>2</v>
      </c>
      <c r="AF14" s="16">
        <v>31</v>
      </c>
      <c r="AG14" s="16">
        <v>20</v>
      </c>
      <c r="AH14" s="16"/>
      <c r="AI14" s="16">
        <v>5</v>
      </c>
      <c r="AJ14" s="62"/>
      <c r="AK14" s="15">
        <f t="shared" si="3"/>
        <v>58</v>
      </c>
      <c r="AL14" s="14">
        <f>AK14*105</f>
        <v>6090</v>
      </c>
      <c r="AS14" s="10"/>
    </row>
    <row r="15" spans="2:46" ht="15.6" x14ac:dyDescent="0.3">
      <c r="B15" s="17" t="s">
        <v>52</v>
      </c>
      <c r="C15" s="16">
        <v>6</v>
      </c>
      <c r="D15" s="16"/>
      <c r="E15" s="15">
        <f t="shared" si="4"/>
        <v>6</v>
      </c>
      <c r="F15" s="14">
        <f>E15*110</f>
        <v>660</v>
      </c>
      <c r="G15" s="16" t="s">
        <v>65</v>
      </c>
      <c r="H15" s="16">
        <v>4</v>
      </c>
      <c r="I15" s="16">
        <v>9</v>
      </c>
      <c r="J15" s="16" t="s">
        <v>65</v>
      </c>
      <c r="K15" s="16"/>
      <c r="L15" s="16">
        <v>1</v>
      </c>
      <c r="M15" s="15">
        <f t="shared" si="0"/>
        <v>14</v>
      </c>
      <c r="N15" s="14">
        <f>M15*110</f>
        <v>1540</v>
      </c>
      <c r="O15" s="16">
        <v>10</v>
      </c>
      <c r="P15" s="16"/>
      <c r="Q15" s="16">
        <v>9</v>
      </c>
      <c r="R15" s="16" t="s">
        <v>65</v>
      </c>
      <c r="S15" s="16"/>
      <c r="T15" s="16" t="s">
        <v>65</v>
      </c>
      <c r="U15" s="15">
        <f t="shared" si="1"/>
        <v>19</v>
      </c>
      <c r="V15" s="14">
        <f>U15*110</f>
        <v>2090</v>
      </c>
      <c r="W15" s="16" t="s">
        <v>65</v>
      </c>
      <c r="X15" s="16" t="s">
        <v>65</v>
      </c>
      <c r="Y15" s="16"/>
      <c r="Z15" s="16" t="s">
        <v>75</v>
      </c>
      <c r="AA15" s="16">
        <v>6</v>
      </c>
      <c r="AB15" s="16"/>
      <c r="AC15" s="15">
        <f t="shared" si="2"/>
        <v>6</v>
      </c>
      <c r="AD15" s="14">
        <f>AC15*110</f>
        <v>660</v>
      </c>
      <c r="AE15" s="16"/>
      <c r="AF15" s="16">
        <v>5</v>
      </c>
      <c r="AG15" s="16">
        <v>5</v>
      </c>
      <c r="AH15" s="16"/>
      <c r="AI15" s="16"/>
      <c r="AJ15" s="62"/>
      <c r="AK15" s="15">
        <f t="shared" si="3"/>
        <v>10</v>
      </c>
      <c r="AL15" s="14">
        <f>AK15*110</f>
        <v>1100</v>
      </c>
      <c r="AS15" s="54" t="s">
        <v>51</v>
      </c>
      <c r="AT15" s="66">
        <v>304190</v>
      </c>
    </row>
    <row r="16" spans="2:46" x14ac:dyDescent="0.3">
      <c r="B16" s="17" t="s">
        <v>50</v>
      </c>
      <c r="C16" s="16"/>
      <c r="D16" s="16">
        <v>10</v>
      </c>
      <c r="E16" s="15">
        <f t="shared" si="4"/>
        <v>10</v>
      </c>
      <c r="F16" s="14">
        <f>E16*70</f>
        <v>700</v>
      </c>
      <c r="G16" s="16"/>
      <c r="H16" s="16"/>
      <c r="I16" s="16"/>
      <c r="J16" s="16" t="s">
        <v>65</v>
      </c>
      <c r="K16" s="16"/>
      <c r="L16" s="16"/>
      <c r="M16" s="15">
        <f t="shared" si="0"/>
        <v>0</v>
      </c>
      <c r="N16" s="14">
        <v>4</v>
      </c>
      <c r="O16" s="20" t="s">
        <v>65</v>
      </c>
      <c r="P16" s="16"/>
      <c r="Q16" s="16" t="s">
        <v>65</v>
      </c>
      <c r="R16" s="16" t="s">
        <v>65</v>
      </c>
      <c r="S16" s="16" t="s">
        <v>65</v>
      </c>
      <c r="T16" s="16" t="s">
        <v>65</v>
      </c>
      <c r="U16" s="15">
        <f t="shared" si="1"/>
        <v>0</v>
      </c>
      <c r="V16" s="14">
        <f>U16*70</f>
        <v>0</v>
      </c>
      <c r="W16" s="16" t="s">
        <v>65</v>
      </c>
      <c r="X16" s="16" t="s">
        <v>65</v>
      </c>
      <c r="Y16" s="16"/>
      <c r="Z16" s="16">
        <v>8</v>
      </c>
      <c r="AA16" s="16">
        <v>1</v>
      </c>
      <c r="AB16" s="16"/>
      <c r="AC16" s="15">
        <f t="shared" si="2"/>
        <v>9</v>
      </c>
      <c r="AD16" s="14">
        <f>AC16*70</f>
        <v>630</v>
      </c>
      <c r="AE16" s="16"/>
      <c r="AF16" s="16"/>
      <c r="AG16" s="16"/>
      <c r="AH16" s="16"/>
      <c r="AI16" s="16">
        <v>3</v>
      </c>
      <c r="AJ16" s="62"/>
      <c r="AK16" s="15">
        <f t="shared" si="3"/>
        <v>3</v>
      </c>
      <c r="AL16" s="14">
        <f>AK16*70</f>
        <v>210</v>
      </c>
    </row>
    <row r="17" spans="2:43" x14ac:dyDescent="0.3">
      <c r="B17" s="17" t="s">
        <v>28</v>
      </c>
      <c r="C17" s="16"/>
      <c r="D17" s="16"/>
      <c r="E17" s="15">
        <f t="shared" si="4"/>
        <v>0</v>
      </c>
      <c r="F17" s="14">
        <f>E17*0</f>
        <v>0</v>
      </c>
      <c r="G17" s="16"/>
      <c r="H17" s="16"/>
      <c r="I17" s="16"/>
      <c r="J17" s="16" t="s">
        <v>65</v>
      </c>
      <c r="K17" s="16"/>
      <c r="L17" s="16"/>
      <c r="M17" s="15">
        <f t="shared" si="0"/>
        <v>0</v>
      </c>
      <c r="N17" s="14" t="s">
        <v>66</v>
      </c>
      <c r="O17" s="16" t="s">
        <v>65</v>
      </c>
      <c r="P17" s="16"/>
      <c r="Q17" s="16"/>
      <c r="R17" s="16" t="s">
        <v>65</v>
      </c>
      <c r="S17" s="16"/>
      <c r="T17" s="16" t="s">
        <v>65</v>
      </c>
      <c r="U17" s="15">
        <f t="shared" si="1"/>
        <v>0</v>
      </c>
      <c r="V17" s="14">
        <f>U17*0</f>
        <v>0</v>
      </c>
      <c r="W17" s="16" t="s">
        <v>65</v>
      </c>
      <c r="X17" s="16" t="s">
        <v>65</v>
      </c>
      <c r="Y17" s="16"/>
      <c r="Z17" s="16"/>
      <c r="AA17" s="16"/>
      <c r="AB17" s="16"/>
      <c r="AC17" s="15">
        <f t="shared" si="2"/>
        <v>0</v>
      </c>
      <c r="AD17" s="14">
        <f>AC17*0</f>
        <v>0</v>
      </c>
      <c r="AE17" s="16"/>
      <c r="AF17" s="16"/>
      <c r="AG17" s="16"/>
      <c r="AH17" s="16"/>
      <c r="AI17" s="16"/>
      <c r="AJ17" s="62"/>
      <c r="AK17" s="15">
        <f t="shared" si="3"/>
        <v>0</v>
      </c>
      <c r="AL17" s="14">
        <f>AK17*0</f>
        <v>0</v>
      </c>
    </row>
    <row r="18" spans="2:43" x14ac:dyDescent="0.3">
      <c r="B18" s="17" t="s">
        <v>49</v>
      </c>
      <c r="C18" s="16" t="s">
        <v>65</v>
      </c>
      <c r="D18" s="16"/>
      <c r="E18" s="15">
        <f t="shared" si="4"/>
        <v>0</v>
      </c>
      <c r="F18" s="14">
        <f>E18*0</f>
        <v>0</v>
      </c>
      <c r="G18" s="16"/>
      <c r="H18" s="16"/>
      <c r="I18" s="16"/>
      <c r="J18" s="16" t="s">
        <v>65</v>
      </c>
      <c r="K18" s="16"/>
      <c r="L18" s="16"/>
      <c r="M18" s="15">
        <f t="shared" si="0"/>
        <v>0</v>
      </c>
      <c r="N18" s="14">
        <f>M18*0</f>
        <v>0</v>
      </c>
      <c r="O18" s="16" t="s">
        <v>65</v>
      </c>
      <c r="P18" s="16"/>
      <c r="Q18" s="16"/>
      <c r="R18" s="16" t="s">
        <v>65</v>
      </c>
      <c r="S18" s="16" t="s">
        <v>65</v>
      </c>
      <c r="T18" s="16" t="s">
        <v>65</v>
      </c>
      <c r="U18" s="15">
        <f t="shared" si="1"/>
        <v>0</v>
      </c>
      <c r="V18" s="14">
        <f>U18*0</f>
        <v>0</v>
      </c>
      <c r="W18" s="16" t="s">
        <v>65</v>
      </c>
      <c r="X18" s="16" t="s">
        <v>65</v>
      </c>
      <c r="Y18" s="16"/>
      <c r="Z18" s="16"/>
      <c r="AA18" s="16"/>
      <c r="AB18" s="16"/>
      <c r="AC18" s="15">
        <f t="shared" si="2"/>
        <v>0</v>
      </c>
      <c r="AD18" s="14">
        <f>AC18*0</f>
        <v>0</v>
      </c>
      <c r="AE18" s="16"/>
      <c r="AF18" s="16" t="s">
        <v>65</v>
      </c>
      <c r="AG18" s="16"/>
      <c r="AH18" s="16"/>
      <c r="AI18" s="16"/>
      <c r="AJ18" s="62"/>
      <c r="AK18" s="15">
        <f t="shared" si="3"/>
        <v>0</v>
      </c>
      <c r="AL18" s="14">
        <f>AK18*0</f>
        <v>0</v>
      </c>
    </row>
    <row r="19" spans="2:43" ht="15.6" x14ac:dyDescent="0.3">
      <c r="B19" s="52"/>
      <c r="C19" s="50"/>
      <c r="D19" s="50"/>
      <c r="E19" s="39">
        <f>SUM(E4:E16)</f>
        <v>382</v>
      </c>
      <c r="F19" s="49">
        <f>SUM(F4:F16)</f>
        <v>25555</v>
      </c>
      <c r="G19" s="50"/>
      <c r="H19" s="50"/>
      <c r="I19" s="50"/>
      <c r="J19" s="50"/>
      <c r="K19" s="50"/>
      <c r="L19" s="50"/>
      <c r="M19" s="39">
        <f>SUM(M4:M16)</f>
        <v>939</v>
      </c>
      <c r="N19" s="49">
        <f>SUM(N4:N16)</f>
        <v>1807</v>
      </c>
      <c r="O19" s="50"/>
      <c r="P19" s="50"/>
      <c r="Q19" s="50"/>
      <c r="R19" s="50"/>
      <c r="S19" s="50"/>
      <c r="T19" s="50"/>
      <c r="U19" s="39">
        <f>SUM(U4:U16)</f>
        <v>1089</v>
      </c>
      <c r="V19" s="49">
        <f>SUM(V4:V16)</f>
        <v>79112</v>
      </c>
      <c r="W19" s="50"/>
      <c r="X19" s="50"/>
      <c r="Y19" s="50"/>
      <c r="Z19" s="50"/>
      <c r="AA19" s="50"/>
      <c r="AB19" s="50"/>
      <c r="AC19" s="39">
        <f>SUM(AC4:AC16)</f>
        <v>697</v>
      </c>
      <c r="AD19" s="49">
        <f>SUM(AD4:AD16)</f>
        <v>50758</v>
      </c>
      <c r="AE19" s="50"/>
      <c r="AF19" s="50"/>
      <c r="AG19" s="50"/>
      <c r="AH19" s="50"/>
      <c r="AI19" s="50"/>
      <c r="AJ19" s="50"/>
      <c r="AK19" s="39">
        <f>SUM(AK4:AK16)</f>
        <v>760</v>
      </c>
      <c r="AL19" s="49">
        <f>SUM(AL4:AL16)</f>
        <v>54691</v>
      </c>
      <c r="AN19" s="47" t="s">
        <v>48</v>
      </c>
      <c r="AO19" s="48">
        <f>E50+M50+U50+AC50+AK50</f>
        <v>5192</v>
      </c>
      <c r="AP19" s="30">
        <f>AO20/AO19</f>
        <v>56.304506933744221</v>
      </c>
    </row>
    <row r="20" spans="2:43" ht="15.6" customHeight="1" x14ac:dyDescent="0.3">
      <c r="B20" s="42" t="s">
        <v>47</v>
      </c>
      <c r="C20" s="16" t="s">
        <v>65</v>
      </c>
      <c r="D20" s="16"/>
      <c r="E20" s="15">
        <f t="shared" ref="E20:E47" si="5">SUM(C20:D20)</f>
        <v>0</v>
      </c>
      <c r="F20" s="14">
        <f>E20*85</f>
        <v>0</v>
      </c>
      <c r="G20" s="16" t="s">
        <v>65</v>
      </c>
      <c r="H20" s="16">
        <v>5</v>
      </c>
      <c r="I20" s="16"/>
      <c r="J20" s="16"/>
      <c r="K20" s="16"/>
      <c r="L20" s="16">
        <v>4</v>
      </c>
      <c r="M20" s="15">
        <f>SUM(G20:L20)</f>
        <v>9</v>
      </c>
      <c r="N20" s="14">
        <f>M20*85</f>
        <v>765</v>
      </c>
      <c r="O20" s="16">
        <v>8</v>
      </c>
      <c r="P20" s="16"/>
      <c r="Q20" s="16"/>
      <c r="R20" s="16"/>
      <c r="S20" s="16">
        <v>4</v>
      </c>
      <c r="T20" s="16"/>
      <c r="U20" s="15">
        <f>SUM(O20:T20)</f>
        <v>12</v>
      </c>
      <c r="V20" s="14">
        <f>U20*85</f>
        <v>1020</v>
      </c>
      <c r="W20" s="16">
        <v>10</v>
      </c>
      <c r="X20" s="16" t="s">
        <v>65</v>
      </c>
      <c r="Y20" s="16"/>
      <c r="Z20" s="16"/>
      <c r="AA20" s="16">
        <v>3</v>
      </c>
      <c r="AB20" s="16"/>
      <c r="AC20" s="15">
        <f>SUM(W20:AB20)</f>
        <v>13</v>
      </c>
      <c r="AD20" s="14">
        <f>AC20*98</f>
        <v>1274</v>
      </c>
      <c r="AE20" s="16" t="s">
        <v>65</v>
      </c>
      <c r="AF20" s="16">
        <v>15</v>
      </c>
      <c r="AG20" s="16">
        <v>5</v>
      </c>
      <c r="AH20" s="16"/>
      <c r="AI20" s="16"/>
      <c r="AJ20" s="62"/>
      <c r="AK20" s="15">
        <f t="shared" ref="AK20:AK47" si="6">SUM(AE20:AJ20)</f>
        <v>20</v>
      </c>
      <c r="AL20" s="14">
        <f>AK20*98</f>
        <v>1960</v>
      </c>
      <c r="AN20" s="47" t="s">
        <v>3</v>
      </c>
      <c r="AO20" s="46">
        <f>F50+N50+V50+AD50+AL50</f>
        <v>292333</v>
      </c>
    </row>
    <row r="21" spans="2:43" x14ac:dyDescent="0.3">
      <c r="B21" s="42" t="s">
        <v>46</v>
      </c>
      <c r="C21" s="16">
        <v>10</v>
      </c>
      <c r="D21" s="16">
        <v>60</v>
      </c>
      <c r="E21" s="15">
        <f t="shared" si="5"/>
        <v>70</v>
      </c>
      <c r="F21" s="14">
        <f>E21*84</f>
        <v>5880</v>
      </c>
      <c r="G21" s="16" t="s">
        <v>65</v>
      </c>
      <c r="H21" s="16"/>
      <c r="I21" s="16">
        <v>12</v>
      </c>
      <c r="J21" s="16"/>
      <c r="K21" s="16"/>
      <c r="L21" s="16"/>
      <c r="M21" s="15">
        <f t="shared" ref="M21:M47" si="7">SUM(G21:L21)</f>
        <v>12</v>
      </c>
      <c r="N21" s="14">
        <f>M21*84</f>
        <v>1008</v>
      </c>
      <c r="O21" s="16">
        <v>10</v>
      </c>
      <c r="P21" s="16"/>
      <c r="Q21" s="16"/>
      <c r="R21" s="16">
        <v>10</v>
      </c>
      <c r="S21" s="16">
        <v>20</v>
      </c>
      <c r="T21" s="16"/>
      <c r="U21" s="15">
        <f t="shared" ref="U21:U43" si="8">SUM(O21:T21)</f>
        <v>40</v>
      </c>
      <c r="V21" s="14">
        <f>U21*84</f>
        <v>3360</v>
      </c>
      <c r="W21" s="16"/>
      <c r="X21" s="16" t="s">
        <v>65</v>
      </c>
      <c r="Y21" s="16">
        <v>15</v>
      </c>
      <c r="Z21" s="16"/>
      <c r="AA21" s="16">
        <v>3</v>
      </c>
      <c r="AB21" s="16"/>
      <c r="AC21" s="15">
        <f t="shared" ref="AC21:AC47" si="9">SUM(W21:AB21)</f>
        <v>18</v>
      </c>
      <c r="AD21" s="14">
        <f>AC21*96</f>
        <v>1728</v>
      </c>
      <c r="AE21" s="16" t="s">
        <v>65</v>
      </c>
      <c r="AF21" s="16"/>
      <c r="AG21" s="16"/>
      <c r="AH21" s="16"/>
      <c r="AI21" s="16"/>
      <c r="AJ21" s="62"/>
      <c r="AK21" s="15">
        <f t="shared" si="6"/>
        <v>0</v>
      </c>
      <c r="AL21" s="14">
        <f>AK21*96</f>
        <v>0</v>
      </c>
    </row>
    <row r="22" spans="2:43" x14ac:dyDescent="0.3">
      <c r="B22" s="42" t="s">
        <v>45</v>
      </c>
      <c r="C22" s="16"/>
      <c r="D22" s="16"/>
      <c r="E22" s="15">
        <f t="shared" si="5"/>
        <v>0</v>
      </c>
      <c r="F22" s="14">
        <f>E22*85</f>
        <v>0</v>
      </c>
      <c r="G22" s="16">
        <v>30</v>
      </c>
      <c r="H22" s="16">
        <v>10</v>
      </c>
      <c r="I22" s="16"/>
      <c r="J22" s="16"/>
      <c r="K22" s="16">
        <v>5</v>
      </c>
      <c r="L22" s="16"/>
      <c r="M22" s="15">
        <f t="shared" si="7"/>
        <v>45</v>
      </c>
      <c r="N22" s="14">
        <v>4</v>
      </c>
      <c r="O22" s="16">
        <v>10</v>
      </c>
      <c r="P22" s="16"/>
      <c r="Q22" s="16"/>
      <c r="R22" s="16"/>
      <c r="S22" s="16"/>
      <c r="T22" s="16">
        <v>20</v>
      </c>
      <c r="U22" s="15">
        <f t="shared" si="8"/>
        <v>30</v>
      </c>
      <c r="V22" s="14">
        <f>U22*85</f>
        <v>2550</v>
      </c>
      <c r="W22" s="16"/>
      <c r="X22" s="16" t="s">
        <v>65</v>
      </c>
      <c r="Y22" s="16">
        <v>50</v>
      </c>
      <c r="Z22" s="16"/>
      <c r="AA22" s="16">
        <v>3</v>
      </c>
      <c r="AB22" s="16"/>
      <c r="AC22" s="15">
        <f t="shared" si="9"/>
        <v>53</v>
      </c>
      <c r="AD22" s="14">
        <f>AC22*98</f>
        <v>5194</v>
      </c>
      <c r="AE22" s="16">
        <v>5</v>
      </c>
      <c r="AF22" s="16"/>
      <c r="AG22" s="16"/>
      <c r="AH22" s="16"/>
      <c r="AI22" s="16"/>
      <c r="AJ22" s="62"/>
      <c r="AK22" s="15">
        <f t="shared" si="6"/>
        <v>5</v>
      </c>
      <c r="AL22" s="14">
        <f>AK22*98</f>
        <v>490</v>
      </c>
      <c r="AQ22">
        <f>JUNIO!AL19-AGOSTO!AO19</f>
        <v>1545</v>
      </c>
    </row>
    <row r="23" spans="2:43" x14ac:dyDescent="0.3">
      <c r="B23" s="42" t="s">
        <v>44</v>
      </c>
      <c r="C23" s="16">
        <v>10</v>
      </c>
      <c r="D23" s="16"/>
      <c r="E23" s="15">
        <f t="shared" si="5"/>
        <v>10</v>
      </c>
      <c r="F23" s="14">
        <f>E23*85</f>
        <v>850</v>
      </c>
      <c r="G23" s="16"/>
      <c r="H23" s="16"/>
      <c r="I23" s="16"/>
      <c r="J23" s="16"/>
      <c r="K23" s="16"/>
      <c r="L23" s="16"/>
      <c r="M23" s="15">
        <f t="shared" si="7"/>
        <v>0</v>
      </c>
      <c r="N23" s="14">
        <f>M23*85</f>
        <v>0</v>
      </c>
      <c r="O23" s="16">
        <v>10</v>
      </c>
      <c r="P23" s="16">
        <v>5</v>
      </c>
      <c r="Q23" s="16"/>
      <c r="R23" s="16"/>
      <c r="S23" s="16"/>
      <c r="T23" s="16">
        <v>5</v>
      </c>
      <c r="U23" s="15">
        <f t="shared" si="8"/>
        <v>20</v>
      </c>
      <c r="V23" s="14">
        <f>U23*85</f>
        <v>1700</v>
      </c>
      <c r="W23" s="16"/>
      <c r="X23" s="16" t="s">
        <v>65</v>
      </c>
      <c r="Y23" s="16"/>
      <c r="Z23" s="16"/>
      <c r="AA23" s="16"/>
      <c r="AB23" s="16"/>
      <c r="AC23" s="15">
        <f t="shared" si="9"/>
        <v>0</v>
      </c>
      <c r="AD23" s="14">
        <f>AC23*82</f>
        <v>0</v>
      </c>
      <c r="AE23" s="16"/>
      <c r="AF23" s="16">
        <v>15</v>
      </c>
      <c r="AG23" s="16"/>
      <c r="AH23" s="16"/>
      <c r="AI23" s="16"/>
      <c r="AJ23" s="62"/>
      <c r="AK23" s="15">
        <f t="shared" si="6"/>
        <v>15</v>
      </c>
      <c r="AL23" s="14">
        <f>AK23*82</f>
        <v>1230</v>
      </c>
    </row>
    <row r="24" spans="2:43" ht="15.6" x14ac:dyDescent="0.3">
      <c r="B24" s="42" t="s">
        <v>43</v>
      </c>
      <c r="C24" s="16"/>
      <c r="D24" s="16"/>
      <c r="E24" s="15">
        <f t="shared" si="5"/>
        <v>0</v>
      </c>
      <c r="F24" s="14">
        <f>E24*85</f>
        <v>0</v>
      </c>
      <c r="G24" s="16">
        <v>30</v>
      </c>
      <c r="H24" s="16"/>
      <c r="I24" s="16"/>
      <c r="J24" s="16"/>
      <c r="K24" s="16"/>
      <c r="L24" s="16"/>
      <c r="M24" s="15">
        <f t="shared" si="7"/>
        <v>30</v>
      </c>
      <c r="N24" s="14">
        <f>M24*85</f>
        <v>2550</v>
      </c>
      <c r="O24" s="16"/>
      <c r="P24" s="16"/>
      <c r="Q24" s="16"/>
      <c r="R24" s="16"/>
      <c r="S24" s="16"/>
      <c r="T24" s="16"/>
      <c r="U24" s="15">
        <f t="shared" si="8"/>
        <v>0</v>
      </c>
      <c r="V24" s="14">
        <f>U24*85</f>
        <v>0</v>
      </c>
      <c r="W24" s="16">
        <v>1</v>
      </c>
      <c r="X24" s="16" t="s">
        <v>65</v>
      </c>
      <c r="Y24" s="16"/>
      <c r="Z24" s="16"/>
      <c r="AA24" s="16"/>
      <c r="AB24" s="16"/>
      <c r="AC24" s="15">
        <f t="shared" si="9"/>
        <v>1</v>
      </c>
      <c r="AD24" s="14">
        <f>AC24*100</f>
        <v>100</v>
      </c>
      <c r="AE24" s="16"/>
      <c r="AF24" s="16"/>
      <c r="AG24" s="16"/>
      <c r="AH24" s="16"/>
      <c r="AI24" s="16"/>
      <c r="AJ24" s="62"/>
      <c r="AK24" s="15">
        <f t="shared" si="6"/>
        <v>0</v>
      </c>
      <c r="AL24" s="14">
        <f>AK24*100</f>
        <v>0</v>
      </c>
      <c r="AN24" s="70" t="s">
        <v>42</v>
      </c>
      <c r="AO24" s="70"/>
    </row>
    <row r="25" spans="2:43" ht="15.6" x14ac:dyDescent="0.3">
      <c r="B25" s="42" t="s">
        <v>41</v>
      </c>
      <c r="C25" s="16"/>
      <c r="D25" s="16"/>
      <c r="E25" s="15">
        <f t="shared" si="5"/>
        <v>0</v>
      </c>
      <c r="F25" s="14">
        <f>E25*84</f>
        <v>0</v>
      </c>
      <c r="G25" s="16"/>
      <c r="H25" s="16"/>
      <c r="I25" s="16">
        <v>20</v>
      </c>
      <c r="J25" s="16"/>
      <c r="K25" s="16"/>
      <c r="L25" s="16"/>
      <c r="M25" s="15">
        <f t="shared" si="7"/>
        <v>20</v>
      </c>
      <c r="N25" s="14">
        <f>M25*84</f>
        <v>1680</v>
      </c>
      <c r="O25" s="16"/>
      <c r="P25" s="16"/>
      <c r="Q25" s="16"/>
      <c r="R25" s="16"/>
      <c r="S25" s="16"/>
      <c r="T25" s="16">
        <v>34</v>
      </c>
      <c r="U25" s="15">
        <f t="shared" si="8"/>
        <v>34</v>
      </c>
      <c r="V25" s="14">
        <f>U25*84</f>
        <v>2856</v>
      </c>
      <c r="W25" s="16"/>
      <c r="X25" s="16" t="s">
        <v>65</v>
      </c>
      <c r="Y25" s="16"/>
      <c r="Z25" s="16"/>
      <c r="AA25" s="16"/>
      <c r="AB25" s="16"/>
      <c r="AC25" s="15">
        <f t="shared" si="9"/>
        <v>0</v>
      </c>
      <c r="AD25" s="14">
        <f>AC25*115</f>
        <v>0</v>
      </c>
      <c r="AE25" s="16"/>
      <c r="AF25" s="16"/>
      <c r="AG25" s="16"/>
      <c r="AH25" s="16"/>
      <c r="AI25" s="16"/>
      <c r="AJ25" s="62"/>
      <c r="AK25" s="15">
        <f t="shared" si="6"/>
        <v>0</v>
      </c>
      <c r="AL25" s="14">
        <f>AK25*115</f>
        <v>0</v>
      </c>
      <c r="AN25" s="45" t="s">
        <v>40</v>
      </c>
      <c r="AO25" s="44">
        <f>E13+M13+U13+AC13+AK13</f>
        <v>771</v>
      </c>
    </row>
    <row r="26" spans="2:43" ht="15.6" x14ac:dyDescent="0.3">
      <c r="B26" s="42" t="s">
        <v>39</v>
      </c>
      <c r="C26" s="16"/>
      <c r="D26" s="16"/>
      <c r="E26" s="15">
        <f t="shared" si="5"/>
        <v>0</v>
      </c>
      <c r="F26" s="14">
        <f>E26*85</f>
        <v>0</v>
      </c>
      <c r="G26" s="16"/>
      <c r="H26" s="16"/>
      <c r="I26" s="16"/>
      <c r="J26" s="16"/>
      <c r="K26" s="16"/>
      <c r="L26" s="16"/>
      <c r="M26" s="15">
        <f t="shared" si="7"/>
        <v>0</v>
      </c>
      <c r="N26" s="14">
        <f>M26*85</f>
        <v>0</v>
      </c>
      <c r="O26" s="16"/>
      <c r="P26" s="16"/>
      <c r="Q26" s="16"/>
      <c r="R26" s="16"/>
      <c r="S26" s="16"/>
      <c r="T26" s="16"/>
      <c r="U26" s="15">
        <f t="shared" si="8"/>
        <v>0</v>
      </c>
      <c r="V26" s="14">
        <f>U26*85</f>
        <v>0</v>
      </c>
      <c r="W26" s="16"/>
      <c r="X26" s="16"/>
      <c r="Y26" s="16"/>
      <c r="Z26" s="16"/>
      <c r="AA26" s="16"/>
      <c r="AB26" s="16"/>
      <c r="AC26" s="15">
        <f t="shared" si="9"/>
        <v>0</v>
      </c>
      <c r="AD26" s="14">
        <f>AC26*85</f>
        <v>0</v>
      </c>
      <c r="AE26" s="16"/>
      <c r="AF26" s="16"/>
      <c r="AG26" s="16"/>
      <c r="AH26" s="16"/>
      <c r="AI26" s="16"/>
      <c r="AJ26" s="62"/>
      <c r="AK26" s="15">
        <f t="shared" si="6"/>
        <v>0</v>
      </c>
      <c r="AL26" s="14">
        <f>AK26*85</f>
        <v>0</v>
      </c>
      <c r="AN26" s="45" t="s">
        <v>38</v>
      </c>
      <c r="AO26" s="44">
        <f>E14+M14+U14+AC14+AK14</f>
        <v>402</v>
      </c>
    </row>
    <row r="27" spans="2:43" ht="15.6" x14ac:dyDescent="0.3">
      <c r="B27" s="42" t="s">
        <v>37</v>
      </c>
      <c r="C27" s="16"/>
      <c r="D27" s="16"/>
      <c r="E27" s="15">
        <f t="shared" si="5"/>
        <v>0</v>
      </c>
      <c r="F27" s="14">
        <f>E27*85</f>
        <v>0</v>
      </c>
      <c r="G27" s="16"/>
      <c r="H27" s="16"/>
      <c r="I27" s="16"/>
      <c r="J27" s="16"/>
      <c r="K27" s="16"/>
      <c r="L27" s="16"/>
      <c r="M27" s="15">
        <f t="shared" si="7"/>
        <v>0</v>
      </c>
      <c r="N27" s="14">
        <f>M27*85</f>
        <v>0</v>
      </c>
      <c r="O27" s="16"/>
      <c r="P27" s="16"/>
      <c r="Q27" s="16"/>
      <c r="R27" s="16"/>
      <c r="S27" s="16"/>
      <c r="T27" s="16"/>
      <c r="U27" s="15">
        <f t="shared" si="8"/>
        <v>0</v>
      </c>
      <c r="V27" s="14">
        <f>U27*85</f>
        <v>0</v>
      </c>
      <c r="W27" s="16"/>
      <c r="X27" s="16"/>
      <c r="Y27" s="16"/>
      <c r="Z27" s="16"/>
      <c r="AA27" s="16"/>
      <c r="AB27" s="16"/>
      <c r="AC27" s="15">
        <f t="shared" si="9"/>
        <v>0</v>
      </c>
      <c r="AD27" s="14">
        <f>AC27*85</f>
        <v>0</v>
      </c>
      <c r="AE27" s="16"/>
      <c r="AF27" s="16"/>
      <c r="AG27" s="16"/>
      <c r="AH27" s="16"/>
      <c r="AI27" s="16"/>
      <c r="AJ27" s="62"/>
      <c r="AK27" s="15">
        <f t="shared" si="6"/>
        <v>0</v>
      </c>
      <c r="AL27" s="14">
        <f>AK27*85</f>
        <v>0</v>
      </c>
      <c r="AN27" s="45" t="s">
        <v>36</v>
      </c>
      <c r="AO27" s="44">
        <f>E15+M15+U15+AC15+AK15</f>
        <v>55</v>
      </c>
    </row>
    <row r="28" spans="2:43" x14ac:dyDescent="0.3">
      <c r="B28" s="42" t="s">
        <v>35</v>
      </c>
      <c r="C28" s="16">
        <v>15</v>
      </c>
      <c r="D28" s="16"/>
      <c r="E28" s="15">
        <f t="shared" si="5"/>
        <v>15</v>
      </c>
      <c r="F28" s="14">
        <f>E28*75</f>
        <v>1125</v>
      </c>
      <c r="G28" s="16">
        <v>40</v>
      </c>
      <c r="H28" s="16">
        <v>1</v>
      </c>
      <c r="I28" s="16"/>
      <c r="J28" s="16">
        <v>10</v>
      </c>
      <c r="K28" s="16"/>
      <c r="L28" s="16"/>
      <c r="M28" s="15">
        <f t="shared" si="7"/>
        <v>51</v>
      </c>
      <c r="N28" s="14">
        <f>M28*75</f>
        <v>3825</v>
      </c>
      <c r="O28" s="16"/>
      <c r="P28" s="16"/>
      <c r="Q28" s="16"/>
      <c r="R28" s="16"/>
      <c r="S28" s="16"/>
      <c r="T28" s="16">
        <v>10</v>
      </c>
      <c r="U28" s="15">
        <f t="shared" si="8"/>
        <v>10</v>
      </c>
      <c r="V28" s="14">
        <f>U28*75</f>
        <v>750</v>
      </c>
      <c r="W28" s="16">
        <v>12</v>
      </c>
      <c r="X28" s="16"/>
      <c r="Y28" s="16"/>
      <c r="Z28" s="16"/>
      <c r="AA28" s="16"/>
      <c r="AB28" s="16">
        <v>11</v>
      </c>
      <c r="AC28" s="15">
        <f t="shared" si="9"/>
        <v>23</v>
      </c>
      <c r="AD28" s="14">
        <f>AC28*75</f>
        <v>1725</v>
      </c>
      <c r="AE28" s="16"/>
      <c r="AF28" s="16"/>
      <c r="AG28" s="16">
        <v>14</v>
      </c>
      <c r="AH28" s="16"/>
      <c r="AI28" s="16"/>
      <c r="AJ28" s="62"/>
      <c r="AK28" s="15">
        <f t="shared" si="6"/>
        <v>14</v>
      </c>
      <c r="AL28" s="14">
        <f>AK28*75</f>
        <v>1050</v>
      </c>
      <c r="AM28" t="s">
        <v>67</v>
      </c>
      <c r="AO28" s="43">
        <f>SUM(AO25:AO27)</f>
        <v>1228</v>
      </c>
    </row>
    <row r="29" spans="2:43" x14ac:dyDescent="0.3">
      <c r="B29" s="42" t="s">
        <v>34</v>
      </c>
      <c r="C29" s="16"/>
      <c r="D29" s="16"/>
      <c r="E29" s="15">
        <f t="shared" si="5"/>
        <v>0</v>
      </c>
      <c r="F29" s="14">
        <f>E29*75</f>
        <v>0</v>
      </c>
      <c r="G29" s="16">
        <v>30</v>
      </c>
      <c r="H29" s="16">
        <v>1</v>
      </c>
      <c r="I29" s="16"/>
      <c r="J29" s="16"/>
      <c r="K29" s="16"/>
      <c r="L29" s="16"/>
      <c r="M29" s="15">
        <f t="shared" si="7"/>
        <v>31</v>
      </c>
      <c r="N29" s="14">
        <f>M29*75</f>
        <v>2325</v>
      </c>
      <c r="O29" s="16"/>
      <c r="P29" s="16"/>
      <c r="Q29" s="16"/>
      <c r="R29" s="16"/>
      <c r="S29" s="16"/>
      <c r="T29" s="16">
        <v>20</v>
      </c>
      <c r="U29" s="15">
        <f t="shared" si="8"/>
        <v>20</v>
      </c>
      <c r="V29" s="14">
        <f>U29*75</f>
        <v>1500</v>
      </c>
      <c r="W29" s="16">
        <v>10</v>
      </c>
      <c r="X29" s="16"/>
      <c r="Y29" s="16"/>
      <c r="Z29" s="16"/>
      <c r="AA29" s="16"/>
      <c r="AB29" s="16"/>
      <c r="AC29" s="15">
        <f t="shared" si="9"/>
        <v>10</v>
      </c>
      <c r="AD29" s="14">
        <f>AC29*75</f>
        <v>750</v>
      </c>
      <c r="AE29" s="16"/>
      <c r="AF29" s="16"/>
      <c r="AG29" s="16"/>
      <c r="AH29" s="16"/>
      <c r="AI29" s="16"/>
      <c r="AJ29" s="62"/>
      <c r="AK29" s="15">
        <f t="shared" si="6"/>
        <v>0</v>
      </c>
      <c r="AL29" s="14">
        <f>AK29*75</f>
        <v>0</v>
      </c>
    </row>
    <row r="30" spans="2:43" x14ac:dyDescent="0.3">
      <c r="B30" s="42" t="s">
        <v>33</v>
      </c>
      <c r="C30" s="16">
        <v>10</v>
      </c>
      <c r="D30" s="16">
        <v>5</v>
      </c>
      <c r="E30" s="15">
        <f t="shared" si="5"/>
        <v>15</v>
      </c>
      <c r="F30" s="14">
        <f>E30*78</f>
        <v>1170</v>
      </c>
      <c r="G30" s="16">
        <v>80</v>
      </c>
      <c r="H30" s="16"/>
      <c r="I30" s="16">
        <v>31</v>
      </c>
      <c r="J30" s="16">
        <v>10</v>
      </c>
      <c r="K30" s="16"/>
      <c r="L30" s="16"/>
      <c r="M30" s="15">
        <f t="shared" si="7"/>
        <v>121</v>
      </c>
      <c r="N30" s="14">
        <v>19</v>
      </c>
      <c r="O30" s="16">
        <v>1</v>
      </c>
      <c r="P30" s="16">
        <v>20</v>
      </c>
      <c r="Q30" s="16"/>
      <c r="R30" s="16"/>
      <c r="S30" s="16">
        <v>10</v>
      </c>
      <c r="T30" s="16">
        <v>35</v>
      </c>
      <c r="U30" s="15">
        <f t="shared" si="8"/>
        <v>66</v>
      </c>
      <c r="V30" s="14">
        <f>U30*78</f>
        <v>5148</v>
      </c>
      <c r="W30" s="16">
        <v>10</v>
      </c>
      <c r="X30" s="16"/>
      <c r="Y30" s="16">
        <v>115</v>
      </c>
      <c r="Z30" s="16"/>
      <c r="AA30" s="16">
        <v>3</v>
      </c>
      <c r="AB30" s="16"/>
      <c r="AC30" s="15">
        <f t="shared" si="9"/>
        <v>128</v>
      </c>
      <c r="AD30" s="14">
        <f>AC30*78</f>
        <v>9984</v>
      </c>
      <c r="AE30" s="16">
        <v>5</v>
      </c>
      <c r="AF30" s="16">
        <v>15</v>
      </c>
      <c r="AG30" s="16"/>
      <c r="AH30" s="16"/>
      <c r="AI30" s="16">
        <v>2</v>
      </c>
      <c r="AJ30" s="62"/>
      <c r="AK30" s="15">
        <f t="shared" si="6"/>
        <v>22</v>
      </c>
      <c r="AL30" s="14">
        <f>AK30*78</f>
        <v>1716</v>
      </c>
    </row>
    <row r="31" spans="2:43" x14ac:dyDescent="0.3">
      <c r="B31" s="42" t="s">
        <v>32</v>
      </c>
      <c r="C31" s="16"/>
      <c r="D31" s="16"/>
      <c r="E31" s="15">
        <f t="shared" si="5"/>
        <v>0</v>
      </c>
      <c r="F31" s="14">
        <f>E31*70</f>
        <v>0</v>
      </c>
      <c r="G31" s="16"/>
      <c r="H31" s="16"/>
      <c r="I31" s="16"/>
      <c r="J31" s="16"/>
      <c r="K31" s="16"/>
      <c r="L31" s="16"/>
      <c r="M31" s="15">
        <f t="shared" si="7"/>
        <v>0</v>
      </c>
      <c r="N31" s="14">
        <f>M31*70</f>
        <v>0</v>
      </c>
      <c r="O31" s="16"/>
      <c r="P31" s="16"/>
      <c r="Q31" s="16"/>
      <c r="R31" s="16"/>
      <c r="S31" s="16"/>
      <c r="T31" s="16"/>
      <c r="U31" s="15">
        <f t="shared" si="8"/>
        <v>0</v>
      </c>
      <c r="V31" s="14">
        <f>U31*70</f>
        <v>0</v>
      </c>
      <c r="W31" s="16"/>
      <c r="X31" s="16"/>
      <c r="Y31" s="16"/>
      <c r="Z31" s="16"/>
      <c r="AA31" s="16"/>
      <c r="AB31" s="16"/>
      <c r="AC31" s="15">
        <f t="shared" si="9"/>
        <v>0</v>
      </c>
      <c r="AD31" s="14">
        <f>AC31*70</f>
        <v>0</v>
      </c>
      <c r="AE31" s="16"/>
      <c r="AF31" s="16"/>
      <c r="AG31" s="16"/>
      <c r="AH31" s="16"/>
      <c r="AI31" s="16"/>
      <c r="AJ31" s="62"/>
      <c r="AK31" s="15">
        <f t="shared" si="6"/>
        <v>0</v>
      </c>
      <c r="AL31" s="14">
        <f>AK31*70</f>
        <v>0</v>
      </c>
    </row>
    <row r="32" spans="2:43" x14ac:dyDescent="0.3">
      <c r="B32" s="42" t="s">
        <v>31</v>
      </c>
      <c r="C32" s="16"/>
      <c r="D32" s="16"/>
      <c r="E32" s="15">
        <f t="shared" si="5"/>
        <v>0</v>
      </c>
      <c r="F32" s="14">
        <f>E32*60</f>
        <v>0</v>
      </c>
      <c r="G32" s="16"/>
      <c r="H32" s="16"/>
      <c r="I32" s="16"/>
      <c r="J32" s="16"/>
      <c r="K32" s="16"/>
      <c r="L32" s="16"/>
      <c r="M32" s="15">
        <f t="shared" si="7"/>
        <v>0</v>
      </c>
      <c r="N32" s="14">
        <f>M32*60</f>
        <v>0</v>
      </c>
      <c r="O32" s="16"/>
      <c r="P32" s="16"/>
      <c r="Q32" s="16"/>
      <c r="R32" s="16"/>
      <c r="S32" s="16"/>
      <c r="T32" s="16"/>
      <c r="U32" s="15">
        <f t="shared" si="8"/>
        <v>0</v>
      </c>
      <c r="V32" s="14">
        <f>U32*60</f>
        <v>0</v>
      </c>
      <c r="W32" s="16"/>
      <c r="X32" s="16"/>
      <c r="Y32" s="16"/>
      <c r="Z32" s="16"/>
      <c r="AA32" s="16"/>
      <c r="AB32" s="16"/>
      <c r="AC32" s="15">
        <f t="shared" si="9"/>
        <v>0</v>
      </c>
      <c r="AD32" s="14">
        <f>AC32*60</f>
        <v>0</v>
      </c>
      <c r="AE32" s="16"/>
      <c r="AF32" s="16"/>
      <c r="AG32" s="16"/>
      <c r="AH32" s="16"/>
      <c r="AI32" s="16"/>
      <c r="AJ32" s="62"/>
      <c r="AK32" s="15">
        <f t="shared" si="6"/>
        <v>0</v>
      </c>
      <c r="AL32" s="14">
        <f>AK32*60</f>
        <v>0</v>
      </c>
    </row>
    <row r="33" spans="2:42" x14ac:dyDescent="0.3">
      <c r="B33" s="42" t="s">
        <v>30</v>
      </c>
      <c r="C33" s="16"/>
      <c r="D33" s="16"/>
      <c r="E33" s="15">
        <f t="shared" si="5"/>
        <v>0</v>
      </c>
      <c r="F33" s="14">
        <f>E33*60</f>
        <v>0</v>
      </c>
      <c r="G33" s="16"/>
      <c r="H33" s="16"/>
      <c r="I33" s="16"/>
      <c r="J33" s="16"/>
      <c r="K33" s="16"/>
      <c r="L33" s="16"/>
      <c r="M33" s="15">
        <f t="shared" si="7"/>
        <v>0</v>
      </c>
      <c r="N33" s="14">
        <f>M33*60</f>
        <v>0</v>
      </c>
      <c r="O33" s="16"/>
      <c r="P33" s="16"/>
      <c r="Q33" s="16"/>
      <c r="R33" s="16"/>
      <c r="S33" s="16"/>
      <c r="T33" s="16"/>
      <c r="U33" s="15">
        <f t="shared" si="8"/>
        <v>0</v>
      </c>
      <c r="V33" s="14">
        <f>U33*60</f>
        <v>0</v>
      </c>
      <c r="W33" s="16"/>
      <c r="X33" s="16"/>
      <c r="Y33" s="16"/>
      <c r="Z33" s="16"/>
      <c r="AA33" s="16"/>
      <c r="AB33" s="16"/>
      <c r="AC33" s="15">
        <f t="shared" si="9"/>
        <v>0</v>
      </c>
      <c r="AD33" s="14">
        <f>AC33*60</f>
        <v>0</v>
      </c>
      <c r="AE33" s="16"/>
      <c r="AF33" s="16"/>
      <c r="AG33" s="16"/>
      <c r="AH33" s="16"/>
      <c r="AI33" s="16"/>
      <c r="AJ33" s="62"/>
      <c r="AK33" s="15">
        <f t="shared" si="6"/>
        <v>0</v>
      </c>
      <c r="AL33" s="14">
        <f>AK33*60</f>
        <v>0</v>
      </c>
    </row>
    <row r="34" spans="2:42" x14ac:dyDescent="0.3">
      <c r="B34" s="42" t="s">
        <v>29</v>
      </c>
      <c r="C34" s="16"/>
      <c r="D34" s="16"/>
      <c r="E34" s="15">
        <f t="shared" si="5"/>
        <v>0</v>
      </c>
      <c r="F34" s="14">
        <f>E34*40</f>
        <v>0</v>
      </c>
      <c r="G34" s="16"/>
      <c r="H34" s="16"/>
      <c r="I34" s="16"/>
      <c r="J34" s="16"/>
      <c r="K34" s="16"/>
      <c r="L34" s="16"/>
      <c r="M34" s="15">
        <f t="shared" si="7"/>
        <v>0</v>
      </c>
      <c r="N34" s="14">
        <f>M34*40</f>
        <v>0</v>
      </c>
      <c r="O34" s="16"/>
      <c r="P34" s="16"/>
      <c r="Q34" s="16"/>
      <c r="R34" s="16"/>
      <c r="S34" s="16"/>
      <c r="T34" s="16"/>
      <c r="U34" s="15">
        <f t="shared" si="8"/>
        <v>0</v>
      </c>
      <c r="V34" s="14">
        <f>U34*40</f>
        <v>0</v>
      </c>
      <c r="W34" s="16"/>
      <c r="X34" s="16"/>
      <c r="Y34" s="16"/>
      <c r="Z34" s="16"/>
      <c r="AA34" s="16"/>
      <c r="AB34" s="16"/>
      <c r="AC34" s="15">
        <f t="shared" si="9"/>
        <v>0</v>
      </c>
      <c r="AD34" s="14">
        <f>AC34*40</f>
        <v>0</v>
      </c>
      <c r="AE34" s="16"/>
      <c r="AF34" s="16"/>
      <c r="AG34" s="16"/>
      <c r="AH34" s="16"/>
      <c r="AI34" s="16"/>
      <c r="AJ34" s="62"/>
      <c r="AK34" s="15">
        <f t="shared" si="6"/>
        <v>0</v>
      </c>
      <c r="AL34" s="14">
        <f>AK34*40</f>
        <v>0</v>
      </c>
    </row>
    <row r="35" spans="2:42" x14ac:dyDescent="0.3">
      <c r="B35" s="42" t="s">
        <v>28</v>
      </c>
      <c r="C35" s="16"/>
      <c r="D35" s="16">
        <v>25</v>
      </c>
      <c r="E35" s="15">
        <f t="shared" si="5"/>
        <v>25</v>
      </c>
      <c r="F35" s="14">
        <f>E35*40</f>
        <v>1000</v>
      </c>
      <c r="G35" s="16"/>
      <c r="H35" s="16"/>
      <c r="I35" s="16">
        <v>5</v>
      </c>
      <c r="J35" s="16">
        <v>11</v>
      </c>
      <c r="K35" s="16"/>
      <c r="L35" s="16"/>
      <c r="M35" s="15">
        <f t="shared" si="7"/>
        <v>16</v>
      </c>
      <c r="N35" s="14">
        <v>84</v>
      </c>
      <c r="O35" s="16"/>
      <c r="P35" s="16">
        <v>100</v>
      </c>
      <c r="Q35" s="16">
        <v>41</v>
      </c>
      <c r="R35" s="16"/>
      <c r="S35" s="16">
        <v>35</v>
      </c>
      <c r="T35" s="16"/>
      <c r="U35" s="15">
        <f t="shared" si="8"/>
        <v>176</v>
      </c>
      <c r="V35" s="14">
        <f>U35*40</f>
        <v>7040</v>
      </c>
      <c r="W35" s="16">
        <v>10</v>
      </c>
      <c r="X35" s="16">
        <v>30</v>
      </c>
      <c r="Y35" s="16"/>
      <c r="Z35" s="16">
        <v>10</v>
      </c>
      <c r="AA35" s="16">
        <v>50</v>
      </c>
      <c r="AB35" s="16"/>
      <c r="AC35" s="15">
        <f t="shared" si="9"/>
        <v>100</v>
      </c>
      <c r="AD35" s="14">
        <f>AC35*40</f>
        <v>4000</v>
      </c>
      <c r="AE35" s="16">
        <v>15</v>
      </c>
      <c r="AF35" s="16"/>
      <c r="AG35" s="16"/>
      <c r="AH35" s="16">
        <v>10</v>
      </c>
      <c r="AI35" s="16"/>
      <c r="AJ35" s="62"/>
      <c r="AK35" s="15">
        <f t="shared" si="6"/>
        <v>25</v>
      </c>
      <c r="AL35" s="14">
        <f>AK35*40</f>
        <v>1000</v>
      </c>
    </row>
    <row r="36" spans="2:42" x14ac:dyDescent="0.3">
      <c r="B36" s="42" t="s">
        <v>27</v>
      </c>
      <c r="C36" s="16"/>
      <c r="D36" s="16" t="s">
        <v>65</v>
      </c>
      <c r="E36" s="15">
        <f t="shared" si="5"/>
        <v>0</v>
      </c>
      <c r="F36" s="14">
        <f>E36*76</f>
        <v>0</v>
      </c>
      <c r="G36" s="16"/>
      <c r="H36" s="16"/>
      <c r="I36" s="16"/>
      <c r="J36" s="16"/>
      <c r="K36" s="16"/>
      <c r="L36" s="16"/>
      <c r="M36" s="15">
        <f t="shared" si="7"/>
        <v>0</v>
      </c>
      <c r="N36" s="14">
        <f>M36*76</f>
        <v>0</v>
      </c>
      <c r="O36" s="16"/>
      <c r="P36" s="16"/>
      <c r="Q36" s="16"/>
      <c r="R36" s="16"/>
      <c r="S36" s="16"/>
      <c r="T36" s="16"/>
      <c r="U36" s="15">
        <f t="shared" si="8"/>
        <v>0</v>
      </c>
      <c r="V36" s="14">
        <f>U36*76</f>
        <v>0</v>
      </c>
      <c r="W36" s="16"/>
      <c r="X36" s="16"/>
      <c r="Y36" s="16"/>
      <c r="Z36" s="16"/>
      <c r="AA36" s="16"/>
      <c r="AB36" s="16"/>
      <c r="AC36" s="15">
        <f t="shared" si="9"/>
        <v>0</v>
      </c>
      <c r="AD36" s="14">
        <f>AC36*76</f>
        <v>0</v>
      </c>
      <c r="AE36" s="16"/>
      <c r="AF36" s="16"/>
      <c r="AG36" s="16"/>
      <c r="AH36" s="16"/>
      <c r="AI36" s="16"/>
      <c r="AJ36" s="62"/>
      <c r="AK36" s="15">
        <f t="shared" si="6"/>
        <v>0</v>
      </c>
      <c r="AL36" s="14">
        <f>AK36*76</f>
        <v>0</v>
      </c>
    </row>
    <row r="37" spans="2:42" x14ac:dyDescent="0.3">
      <c r="B37" s="42" t="s">
        <v>26</v>
      </c>
      <c r="C37" s="16"/>
      <c r="D37" s="16"/>
      <c r="E37" s="15">
        <f t="shared" si="5"/>
        <v>0</v>
      </c>
      <c r="F37" s="14">
        <f>E37*90</f>
        <v>0</v>
      </c>
      <c r="G37" s="16"/>
      <c r="H37" s="16"/>
      <c r="I37" s="16"/>
      <c r="J37" s="16"/>
      <c r="K37" s="16"/>
      <c r="L37" s="16"/>
      <c r="M37" s="15">
        <f t="shared" si="7"/>
        <v>0</v>
      </c>
      <c r="N37" s="14">
        <f>M37*90</f>
        <v>0</v>
      </c>
      <c r="O37" s="16"/>
      <c r="P37" s="16"/>
      <c r="Q37" s="16"/>
      <c r="R37" s="16"/>
      <c r="S37" s="16"/>
      <c r="T37" s="16"/>
      <c r="U37" s="15">
        <f t="shared" si="8"/>
        <v>0</v>
      </c>
      <c r="V37" s="14">
        <f>U37*90</f>
        <v>0</v>
      </c>
      <c r="W37" s="16"/>
      <c r="X37" s="16"/>
      <c r="Y37" s="16"/>
      <c r="Z37" s="16"/>
      <c r="AA37" s="16"/>
      <c r="AB37" s="16"/>
      <c r="AC37" s="15">
        <f t="shared" si="9"/>
        <v>0</v>
      </c>
      <c r="AD37" s="14">
        <f>AC37*90</f>
        <v>0</v>
      </c>
      <c r="AE37" s="16"/>
      <c r="AF37" s="16"/>
      <c r="AG37" s="16"/>
      <c r="AH37" s="16"/>
      <c r="AI37" s="16"/>
      <c r="AJ37" s="62"/>
      <c r="AK37" s="15">
        <f t="shared" si="6"/>
        <v>0</v>
      </c>
      <c r="AL37" s="14">
        <f>AK37*90</f>
        <v>0</v>
      </c>
    </row>
    <row r="38" spans="2:42" x14ac:dyDescent="0.3">
      <c r="B38" s="42" t="s">
        <v>25</v>
      </c>
      <c r="C38" s="16"/>
      <c r="D38" s="16"/>
      <c r="E38" s="15">
        <f t="shared" si="5"/>
        <v>0</v>
      </c>
      <c r="F38" s="14">
        <f>E38*91</f>
        <v>0</v>
      </c>
      <c r="G38" s="16"/>
      <c r="H38" s="16"/>
      <c r="I38" s="16"/>
      <c r="J38" s="16"/>
      <c r="K38" s="16"/>
      <c r="L38" s="16"/>
      <c r="M38" s="15">
        <f t="shared" si="7"/>
        <v>0</v>
      </c>
      <c r="N38" s="14">
        <f>M38*91</f>
        <v>0</v>
      </c>
      <c r="O38" s="16"/>
      <c r="P38" s="16"/>
      <c r="Q38" s="16"/>
      <c r="R38" s="16"/>
      <c r="S38" s="16"/>
      <c r="T38" s="16"/>
      <c r="U38" s="15">
        <f t="shared" si="8"/>
        <v>0</v>
      </c>
      <c r="V38" s="14">
        <f>U38*91</f>
        <v>0</v>
      </c>
      <c r="W38" s="16"/>
      <c r="X38" s="16"/>
      <c r="Y38" s="16"/>
      <c r="Z38" s="16"/>
      <c r="AA38" s="16"/>
      <c r="AB38" s="16"/>
      <c r="AC38" s="15">
        <f t="shared" si="9"/>
        <v>0</v>
      </c>
      <c r="AD38" s="14">
        <f>AC38*91</f>
        <v>0</v>
      </c>
      <c r="AE38" s="16" t="s">
        <v>65</v>
      </c>
      <c r="AF38" s="16"/>
      <c r="AG38" s="16"/>
      <c r="AH38" s="16"/>
      <c r="AI38" s="16"/>
      <c r="AJ38" s="62"/>
      <c r="AK38" s="15">
        <f t="shared" si="6"/>
        <v>0</v>
      </c>
      <c r="AL38" s="14">
        <f>AK38*91</f>
        <v>0</v>
      </c>
    </row>
    <row r="39" spans="2:42" x14ac:dyDescent="0.3">
      <c r="B39" s="42" t="s">
        <v>24</v>
      </c>
      <c r="C39" s="16"/>
      <c r="D39" s="16"/>
      <c r="E39" s="15">
        <f t="shared" si="5"/>
        <v>0</v>
      </c>
      <c r="F39" s="14">
        <f>E39*90</f>
        <v>0</v>
      </c>
      <c r="G39" s="16"/>
      <c r="H39" s="16"/>
      <c r="I39" s="16"/>
      <c r="J39" s="16"/>
      <c r="K39" s="16"/>
      <c r="L39" s="16"/>
      <c r="M39" s="15">
        <f t="shared" si="7"/>
        <v>0</v>
      </c>
      <c r="N39" s="14">
        <f>M39*90</f>
        <v>0</v>
      </c>
      <c r="O39" s="16"/>
      <c r="P39" s="16"/>
      <c r="Q39" s="16"/>
      <c r="R39" s="16"/>
      <c r="S39" s="16"/>
      <c r="T39" s="16"/>
      <c r="U39" s="15">
        <f t="shared" si="8"/>
        <v>0</v>
      </c>
      <c r="V39" s="14">
        <f>U39*90</f>
        <v>0</v>
      </c>
      <c r="W39" s="16"/>
      <c r="X39" s="16"/>
      <c r="Y39" s="16"/>
      <c r="Z39" s="16"/>
      <c r="AA39" s="16"/>
      <c r="AB39" s="16"/>
      <c r="AC39" s="15">
        <f t="shared" si="9"/>
        <v>0</v>
      </c>
      <c r="AD39" s="14">
        <f>AC39*90</f>
        <v>0</v>
      </c>
      <c r="AE39" s="16" t="s">
        <v>65</v>
      </c>
      <c r="AF39" s="16"/>
      <c r="AG39" s="16"/>
      <c r="AH39" s="16"/>
      <c r="AI39" s="16"/>
      <c r="AJ39" s="62"/>
      <c r="AK39" s="15">
        <f t="shared" si="6"/>
        <v>0</v>
      </c>
      <c r="AL39" s="14">
        <f>AK39*90</f>
        <v>0</v>
      </c>
    </row>
    <row r="40" spans="2:42" x14ac:dyDescent="0.3">
      <c r="B40" s="42" t="s">
        <v>23</v>
      </c>
      <c r="C40" s="16"/>
      <c r="D40" s="16"/>
      <c r="E40" s="15">
        <f t="shared" si="5"/>
        <v>0</v>
      </c>
      <c r="F40" s="14">
        <f>E40*76</f>
        <v>0</v>
      </c>
      <c r="G40" s="16"/>
      <c r="H40" s="16"/>
      <c r="I40" s="16"/>
      <c r="J40" s="16"/>
      <c r="K40" s="16"/>
      <c r="L40" s="16"/>
      <c r="M40" s="15">
        <f t="shared" si="7"/>
        <v>0</v>
      </c>
      <c r="N40" s="14">
        <f>M40*76</f>
        <v>0</v>
      </c>
      <c r="O40" s="16"/>
      <c r="P40" s="16"/>
      <c r="Q40" s="16"/>
      <c r="R40" s="16"/>
      <c r="S40" s="16"/>
      <c r="T40" s="16"/>
      <c r="U40" s="15">
        <f t="shared" si="8"/>
        <v>0</v>
      </c>
      <c r="V40" s="14">
        <f>U40*76</f>
        <v>0</v>
      </c>
      <c r="W40" s="16"/>
      <c r="X40" s="16"/>
      <c r="Y40" s="16"/>
      <c r="Z40" s="16"/>
      <c r="AA40" s="16"/>
      <c r="AB40" s="16"/>
      <c r="AC40" s="15">
        <f t="shared" si="9"/>
        <v>0</v>
      </c>
      <c r="AD40" s="14">
        <f>AC40*76</f>
        <v>0</v>
      </c>
      <c r="AE40" s="16" t="s">
        <v>65</v>
      </c>
      <c r="AF40" s="16" t="s">
        <v>65</v>
      </c>
      <c r="AG40" s="16"/>
      <c r="AH40" s="16"/>
      <c r="AI40" s="16"/>
      <c r="AJ40" s="62"/>
      <c r="AK40" s="15">
        <f t="shared" si="6"/>
        <v>0</v>
      </c>
      <c r="AL40" s="14">
        <f>AK40*76</f>
        <v>0</v>
      </c>
    </row>
    <row r="41" spans="2:42" x14ac:dyDescent="0.3">
      <c r="B41" s="42" t="s">
        <v>22</v>
      </c>
      <c r="C41" s="16"/>
      <c r="D41" s="16"/>
      <c r="E41" s="15">
        <f t="shared" si="5"/>
        <v>0</v>
      </c>
      <c r="F41" s="14">
        <f>E41*100</f>
        <v>0</v>
      </c>
      <c r="G41" s="16"/>
      <c r="H41" s="16"/>
      <c r="I41" s="16"/>
      <c r="J41" s="16"/>
      <c r="K41" s="16"/>
      <c r="L41" s="16"/>
      <c r="M41" s="15">
        <f t="shared" si="7"/>
        <v>0</v>
      </c>
      <c r="N41" s="14">
        <f>M41*100</f>
        <v>0</v>
      </c>
      <c r="O41" s="16"/>
      <c r="P41" s="16"/>
      <c r="Q41" s="16"/>
      <c r="R41" s="16"/>
      <c r="S41" s="16"/>
      <c r="T41" s="16"/>
      <c r="U41" s="15">
        <f t="shared" si="8"/>
        <v>0</v>
      </c>
      <c r="V41" s="14">
        <f>U41*100</f>
        <v>0</v>
      </c>
      <c r="W41" s="16" t="s">
        <v>65</v>
      </c>
      <c r="X41" s="16" t="s">
        <v>65</v>
      </c>
      <c r="Y41" s="16" t="s">
        <v>65</v>
      </c>
      <c r="Z41" s="16" t="s">
        <v>65</v>
      </c>
      <c r="AA41" s="16"/>
      <c r="AB41" s="16"/>
      <c r="AC41" s="15">
        <f t="shared" si="9"/>
        <v>0</v>
      </c>
      <c r="AD41" s="14">
        <f>AC41*100</f>
        <v>0</v>
      </c>
      <c r="AE41" s="16" t="s">
        <v>65</v>
      </c>
      <c r="AF41" s="16" t="s">
        <v>65</v>
      </c>
      <c r="AG41" s="16"/>
      <c r="AH41" s="16"/>
      <c r="AI41" s="16"/>
      <c r="AJ41" s="62"/>
      <c r="AK41" s="15">
        <f t="shared" si="6"/>
        <v>0</v>
      </c>
      <c r="AL41" s="14">
        <f>AK41*100</f>
        <v>0</v>
      </c>
    </row>
    <row r="42" spans="2:42" x14ac:dyDescent="0.3">
      <c r="B42" s="42" t="s">
        <v>21</v>
      </c>
      <c r="C42" s="16"/>
      <c r="D42" s="16"/>
      <c r="E42" s="15">
        <f t="shared" si="5"/>
        <v>0</v>
      </c>
      <c r="F42" s="14">
        <f>E42*100</f>
        <v>0</v>
      </c>
      <c r="G42" s="16"/>
      <c r="H42" s="16"/>
      <c r="I42" s="16"/>
      <c r="J42" s="16"/>
      <c r="K42" s="16"/>
      <c r="L42" s="16"/>
      <c r="M42" s="15">
        <f t="shared" si="7"/>
        <v>0</v>
      </c>
      <c r="N42" s="14">
        <f>M42*100</f>
        <v>0</v>
      </c>
      <c r="O42" s="16"/>
      <c r="P42" s="16"/>
      <c r="Q42" s="16"/>
      <c r="R42" s="16"/>
      <c r="S42" s="16"/>
      <c r="T42" s="16"/>
      <c r="U42" s="15">
        <f t="shared" si="8"/>
        <v>0</v>
      </c>
      <c r="V42" s="14">
        <f>U42*100</f>
        <v>0</v>
      </c>
      <c r="W42" s="16" t="s">
        <v>65</v>
      </c>
      <c r="X42" s="16" t="s">
        <v>65</v>
      </c>
      <c r="Y42" s="16" t="s">
        <v>65</v>
      </c>
      <c r="Z42" s="16" t="s">
        <v>65</v>
      </c>
      <c r="AA42" s="16"/>
      <c r="AB42" s="16"/>
      <c r="AC42" s="15">
        <f t="shared" si="9"/>
        <v>0</v>
      </c>
      <c r="AD42" s="14">
        <f>AC42*100</f>
        <v>0</v>
      </c>
      <c r="AE42" s="16" t="s">
        <v>65</v>
      </c>
      <c r="AF42" s="16" t="s">
        <v>65</v>
      </c>
      <c r="AG42" s="16"/>
      <c r="AH42" s="16"/>
      <c r="AI42" s="16"/>
      <c r="AJ42" s="62"/>
      <c r="AK42" s="15">
        <f t="shared" si="6"/>
        <v>0</v>
      </c>
      <c r="AL42" s="14">
        <f>AK42*100</f>
        <v>0</v>
      </c>
    </row>
    <row r="43" spans="2:42" x14ac:dyDescent="0.3">
      <c r="B43" s="42" t="s">
        <v>20</v>
      </c>
      <c r="C43" s="16"/>
      <c r="D43" s="16"/>
      <c r="E43" s="15">
        <f t="shared" si="5"/>
        <v>0</v>
      </c>
      <c r="F43" s="14">
        <f>E43*78</f>
        <v>0</v>
      </c>
      <c r="G43" s="16"/>
      <c r="H43" s="16"/>
      <c r="I43" s="16"/>
      <c r="J43" s="16"/>
      <c r="K43" s="16"/>
      <c r="L43" s="16"/>
      <c r="M43" s="15">
        <f t="shared" si="7"/>
        <v>0</v>
      </c>
      <c r="N43" s="14">
        <f>M43*78</f>
        <v>0</v>
      </c>
      <c r="O43" s="16"/>
      <c r="P43" s="16"/>
      <c r="Q43" s="16"/>
      <c r="R43" s="16"/>
      <c r="S43" s="16"/>
      <c r="T43" s="16"/>
      <c r="U43" s="15">
        <f t="shared" si="8"/>
        <v>0</v>
      </c>
      <c r="V43" s="14">
        <f>U43*78</f>
        <v>0</v>
      </c>
      <c r="W43" s="16"/>
      <c r="X43" s="16"/>
      <c r="Y43" s="16"/>
      <c r="Z43" s="16"/>
      <c r="AA43" s="16"/>
      <c r="AB43" s="16"/>
      <c r="AC43" s="15">
        <f t="shared" si="9"/>
        <v>0</v>
      </c>
      <c r="AD43" s="14">
        <f>AC43*78</f>
        <v>0</v>
      </c>
      <c r="AE43" s="16"/>
      <c r="AF43" s="16"/>
      <c r="AG43" s="16"/>
      <c r="AH43" s="16"/>
      <c r="AI43" s="16"/>
      <c r="AJ43" s="62"/>
      <c r="AK43" s="15">
        <f t="shared" si="6"/>
        <v>0</v>
      </c>
      <c r="AL43" s="14">
        <f>AK43*78</f>
        <v>0</v>
      </c>
    </row>
    <row r="44" spans="2:42" ht="15.6" x14ac:dyDescent="0.3">
      <c r="B44" s="17" t="s">
        <v>19</v>
      </c>
      <c r="C44" s="16"/>
      <c r="D44" s="16">
        <v>12</v>
      </c>
      <c r="E44" s="15">
        <f>SUM(C44:D44)</f>
        <v>12</v>
      </c>
      <c r="F44" s="14">
        <f>E44*92</f>
        <v>1104</v>
      </c>
      <c r="G44" s="16">
        <v>90</v>
      </c>
      <c r="H44" s="16">
        <v>5</v>
      </c>
      <c r="I44" s="16">
        <v>20</v>
      </c>
      <c r="J44" s="16"/>
      <c r="K44" s="16"/>
      <c r="L44" s="16">
        <v>83</v>
      </c>
      <c r="M44" s="15">
        <f t="shared" si="7"/>
        <v>198</v>
      </c>
      <c r="N44" s="14">
        <f>M44*92</f>
        <v>18216</v>
      </c>
      <c r="O44" s="16">
        <v>20</v>
      </c>
      <c r="P44" s="16">
        <v>90</v>
      </c>
      <c r="Q44" s="16"/>
      <c r="R44" s="16"/>
      <c r="S44" s="16"/>
      <c r="T44" s="16">
        <v>20</v>
      </c>
      <c r="U44" s="15">
        <f>SUM(O44:T44)</f>
        <v>130</v>
      </c>
      <c r="V44" s="14">
        <f>U44*92</f>
        <v>11960</v>
      </c>
      <c r="W44" s="16">
        <v>120</v>
      </c>
      <c r="X44" s="16"/>
      <c r="Y44" s="16"/>
      <c r="Z44" s="16">
        <v>80</v>
      </c>
      <c r="AA44" s="16"/>
      <c r="AB44" s="16"/>
      <c r="AC44" s="15">
        <f t="shared" si="9"/>
        <v>200</v>
      </c>
      <c r="AD44" s="14">
        <f>AC44*92</f>
        <v>18400</v>
      </c>
      <c r="AE44" s="16"/>
      <c r="AF44" s="16">
        <v>25</v>
      </c>
      <c r="AG44" s="16"/>
      <c r="AH44" s="16"/>
      <c r="AI44" s="16">
        <v>45</v>
      </c>
      <c r="AJ44" s="62"/>
      <c r="AK44" s="15">
        <f t="shared" si="6"/>
        <v>70</v>
      </c>
      <c r="AL44" s="14">
        <f>AK44*92</f>
        <v>6440</v>
      </c>
      <c r="AN44" s="41"/>
      <c r="AO44" s="40"/>
    </row>
    <row r="45" spans="2:42" x14ac:dyDescent="0.3">
      <c r="B45" s="17" t="s">
        <v>18</v>
      </c>
      <c r="C45" s="16"/>
      <c r="D45" s="16"/>
      <c r="E45" s="15">
        <f t="shared" si="5"/>
        <v>0</v>
      </c>
      <c r="F45" s="14">
        <f>E45*95</f>
        <v>0</v>
      </c>
      <c r="G45" s="16" t="s">
        <v>65</v>
      </c>
      <c r="H45" s="16"/>
      <c r="I45" s="16">
        <v>13</v>
      </c>
      <c r="J45" s="16"/>
      <c r="K45" s="16">
        <v>20</v>
      </c>
      <c r="L45" s="16"/>
      <c r="M45" s="15">
        <f t="shared" si="7"/>
        <v>33</v>
      </c>
      <c r="N45" s="14">
        <f>M45*95</f>
        <v>3135</v>
      </c>
      <c r="O45" s="16">
        <v>57</v>
      </c>
      <c r="P45" s="16"/>
      <c r="Q45" s="16">
        <v>2</v>
      </c>
      <c r="R45" s="16"/>
      <c r="S45" s="16"/>
      <c r="T45" s="16"/>
      <c r="U45" s="15">
        <f>SUM(O45:T45)</f>
        <v>59</v>
      </c>
      <c r="V45" s="14">
        <f>U45*95</f>
        <v>5605</v>
      </c>
      <c r="W45" s="16"/>
      <c r="X45" s="16"/>
      <c r="Y45" s="16"/>
      <c r="Z45" s="16"/>
      <c r="AA45" s="16"/>
      <c r="AB45" s="16"/>
      <c r="AC45" s="15">
        <f t="shared" si="9"/>
        <v>0</v>
      </c>
      <c r="AD45" s="14">
        <f>AC45*95</f>
        <v>0</v>
      </c>
      <c r="AE45" s="16"/>
      <c r="AF45" s="16">
        <v>75</v>
      </c>
      <c r="AG45" s="16"/>
      <c r="AH45" s="16"/>
      <c r="AI45" s="16">
        <v>53</v>
      </c>
      <c r="AJ45" s="62"/>
      <c r="AK45" s="15">
        <f t="shared" si="6"/>
        <v>128</v>
      </c>
      <c r="AL45" s="14">
        <f>AK45*95</f>
        <v>12160</v>
      </c>
    </row>
    <row r="46" spans="2:42" x14ac:dyDescent="0.3">
      <c r="B46" s="17" t="s">
        <v>17</v>
      </c>
      <c r="C46" s="16"/>
      <c r="D46" s="16"/>
      <c r="E46" s="15">
        <f t="shared" si="5"/>
        <v>0</v>
      </c>
      <c r="F46" s="14">
        <f>E46*93</f>
        <v>0</v>
      </c>
      <c r="G46" s="16" t="s">
        <v>65</v>
      </c>
      <c r="H46" s="16">
        <v>33</v>
      </c>
      <c r="I46" s="16">
        <v>35</v>
      </c>
      <c r="J46" s="16"/>
      <c r="K46" s="16">
        <v>10</v>
      </c>
      <c r="L46" s="16"/>
      <c r="M46" s="15">
        <f t="shared" si="7"/>
        <v>78</v>
      </c>
      <c r="N46" s="14">
        <v>4</v>
      </c>
      <c r="O46" s="16">
        <v>19</v>
      </c>
      <c r="P46" s="16">
        <v>25</v>
      </c>
      <c r="Q46" s="16">
        <v>6</v>
      </c>
      <c r="R46" s="16"/>
      <c r="S46" s="16"/>
      <c r="T46" s="16">
        <v>19</v>
      </c>
      <c r="U46" s="15">
        <f>SUM(O46:T46)</f>
        <v>69</v>
      </c>
      <c r="V46" s="14">
        <f>U46*93</f>
        <v>6417</v>
      </c>
      <c r="W46" s="16"/>
      <c r="X46" s="16">
        <v>8</v>
      </c>
      <c r="Y46" s="16">
        <v>9</v>
      </c>
      <c r="Z46" s="16">
        <v>30</v>
      </c>
      <c r="AA46" s="16">
        <v>11</v>
      </c>
      <c r="AB46" s="16"/>
      <c r="AC46" s="15">
        <f t="shared" si="9"/>
        <v>58</v>
      </c>
      <c r="AD46" s="14">
        <f>AC46*93</f>
        <v>5394</v>
      </c>
      <c r="AE46" s="16">
        <v>3</v>
      </c>
      <c r="AF46" s="16">
        <v>2</v>
      </c>
      <c r="AG46" s="16"/>
      <c r="AH46" s="16">
        <v>20</v>
      </c>
      <c r="AI46" s="16"/>
      <c r="AJ46" s="62"/>
      <c r="AK46" s="15">
        <f t="shared" si="6"/>
        <v>25</v>
      </c>
      <c r="AL46" s="14">
        <f>AK46*93</f>
        <v>2325</v>
      </c>
    </row>
    <row r="47" spans="2:42" x14ac:dyDescent="0.3">
      <c r="B47" s="17" t="s">
        <v>14</v>
      </c>
      <c r="C47" s="16">
        <v>15</v>
      </c>
      <c r="D47" s="16">
        <v>12</v>
      </c>
      <c r="E47" s="15">
        <f t="shared" si="5"/>
        <v>27</v>
      </c>
      <c r="F47" s="14">
        <f>E47*52</f>
        <v>1404</v>
      </c>
      <c r="G47" s="16">
        <v>45</v>
      </c>
      <c r="H47" s="16">
        <v>3</v>
      </c>
      <c r="I47" s="16">
        <v>55</v>
      </c>
      <c r="J47" s="16">
        <v>50</v>
      </c>
      <c r="K47" s="16">
        <v>40</v>
      </c>
      <c r="L47" s="16">
        <v>11</v>
      </c>
      <c r="M47" s="15">
        <f t="shared" si="7"/>
        <v>204</v>
      </c>
      <c r="N47" s="14">
        <v>8</v>
      </c>
      <c r="O47" s="16">
        <v>30</v>
      </c>
      <c r="P47" s="16">
        <v>55</v>
      </c>
      <c r="Q47" s="16">
        <v>7</v>
      </c>
      <c r="R47" s="16">
        <v>15</v>
      </c>
      <c r="S47" s="16"/>
      <c r="T47" s="16">
        <v>2</v>
      </c>
      <c r="U47" s="15">
        <f>SUM(O47:T47)</f>
        <v>109</v>
      </c>
      <c r="V47" s="14">
        <f>U47*52</f>
        <v>5668</v>
      </c>
      <c r="W47" s="16">
        <v>30</v>
      </c>
      <c r="X47" s="16"/>
      <c r="Y47" s="16">
        <v>20</v>
      </c>
      <c r="Z47" s="16">
        <v>40</v>
      </c>
      <c r="AA47" s="16">
        <v>35</v>
      </c>
      <c r="AB47" s="16">
        <v>5</v>
      </c>
      <c r="AC47" s="15">
        <f t="shared" si="9"/>
        <v>130</v>
      </c>
      <c r="AD47" s="14">
        <f>AC47*52</f>
        <v>6760</v>
      </c>
      <c r="AE47" s="16">
        <v>15</v>
      </c>
      <c r="AF47" s="16">
        <v>67</v>
      </c>
      <c r="AG47" s="16"/>
      <c r="AH47" s="16">
        <v>20</v>
      </c>
      <c r="AI47" s="16">
        <v>70</v>
      </c>
      <c r="AJ47" s="62"/>
      <c r="AK47" s="15">
        <f t="shared" si="6"/>
        <v>172</v>
      </c>
      <c r="AL47" s="14">
        <f>AK47*52</f>
        <v>8944</v>
      </c>
    </row>
    <row r="48" spans="2:42" ht="15.6" x14ac:dyDescent="0.3">
      <c r="C48" s="10"/>
      <c r="D48" s="10"/>
      <c r="E48" s="39">
        <f>SUM(E20:E43)</f>
        <v>135</v>
      </c>
      <c r="F48" s="38">
        <f>SUM(F20:F43)</f>
        <v>10025</v>
      </c>
      <c r="G48" s="10"/>
      <c r="H48" s="10"/>
      <c r="I48" s="10"/>
      <c r="J48" s="10"/>
      <c r="K48" s="10"/>
      <c r="L48" s="10"/>
      <c r="M48" s="39">
        <f>SUM(M20:M43)</f>
        <v>335</v>
      </c>
      <c r="N48" s="38">
        <f>SUM(N20:N43)</f>
        <v>12260</v>
      </c>
      <c r="O48" s="10"/>
      <c r="P48" s="10"/>
      <c r="Q48" s="10"/>
      <c r="R48" s="10"/>
      <c r="S48" s="10"/>
      <c r="T48" s="10"/>
      <c r="U48" s="39">
        <f>SUM(U20:U43)</f>
        <v>408</v>
      </c>
      <c r="V48" s="38">
        <f>SUM(V20:V43)</f>
        <v>25924</v>
      </c>
      <c r="W48" s="10"/>
      <c r="X48" s="10"/>
      <c r="Y48" s="10"/>
      <c r="Z48" s="10"/>
      <c r="AA48" s="10"/>
      <c r="AB48" s="10"/>
      <c r="AC48" s="39">
        <f>SUM(AC20:AC43)</f>
        <v>346</v>
      </c>
      <c r="AD48" s="38">
        <f>SUM(AD20:AD43)</f>
        <v>24755</v>
      </c>
      <c r="AE48" s="10"/>
      <c r="AF48" s="10"/>
      <c r="AG48" s="10"/>
      <c r="AH48" s="10"/>
      <c r="AI48" s="10"/>
      <c r="AJ48" s="10"/>
      <c r="AK48" s="39">
        <f>SUM(AK20:AK43)</f>
        <v>101</v>
      </c>
      <c r="AL48" s="38">
        <f>SUM(AL20:AL43)</f>
        <v>7446</v>
      </c>
      <c r="AN48" s="35" t="s">
        <v>15</v>
      </c>
      <c r="AO48" s="37">
        <f>E51+M51+U51+AC51+AK51</f>
        <v>1060</v>
      </c>
      <c r="AP48" s="30">
        <f>AO49/AO48</f>
        <v>86</v>
      </c>
    </row>
    <row r="49" spans="2:45" ht="15.6" x14ac:dyDescent="0.3">
      <c r="C49" s="32"/>
      <c r="D49" s="32"/>
      <c r="E49" s="36"/>
      <c r="F49" s="11"/>
      <c r="G49" s="32"/>
      <c r="H49" s="32"/>
      <c r="I49" s="32"/>
      <c r="J49" s="32"/>
      <c r="K49" s="32"/>
      <c r="L49" s="32"/>
      <c r="M49" s="36"/>
      <c r="N49" s="11"/>
      <c r="O49" s="32"/>
      <c r="P49" s="32"/>
      <c r="Q49" s="32"/>
      <c r="R49" s="32"/>
      <c r="S49" s="32"/>
      <c r="T49" s="32"/>
      <c r="U49" s="36"/>
      <c r="V49" s="11"/>
      <c r="W49" s="32"/>
      <c r="X49" s="32"/>
      <c r="Y49" s="32"/>
      <c r="Z49" s="32"/>
      <c r="AA49" s="32"/>
      <c r="AB49" s="32"/>
      <c r="AC49" s="36"/>
      <c r="AD49" s="11"/>
      <c r="AE49" s="32"/>
      <c r="AF49" s="32"/>
      <c r="AG49" s="32"/>
      <c r="AH49" s="32"/>
      <c r="AI49" s="32"/>
      <c r="AJ49" s="32"/>
      <c r="AK49" s="36"/>
      <c r="AL49" s="11"/>
      <c r="AN49" s="35" t="s">
        <v>3</v>
      </c>
      <c r="AO49" s="34">
        <f>N51+F51+V51+AD51+AL51</f>
        <v>91160</v>
      </c>
    </row>
    <row r="50" spans="2:45" ht="15.6" x14ac:dyDescent="0.3">
      <c r="B50" s="29" t="s">
        <v>13</v>
      </c>
      <c r="C50" s="32"/>
      <c r="D50" s="32"/>
      <c r="E50" s="4">
        <f>E48+E19</f>
        <v>517</v>
      </c>
      <c r="F50" s="28">
        <f>F48+F19</f>
        <v>35580</v>
      </c>
      <c r="G50" s="11" t="e">
        <f>I50/H50</f>
        <v>#DIV/0!</v>
      </c>
      <c r="H50" s="32"/>
      <c r="I50" s="32"/>
      <c r="J50" s="32"/>
      <c r="K50" s="32"/>
      <c r="L50" s="32"/>
      <c r="M50" s="4">
        <f>M48+M19</f>
        <v>1274</v>
      </c>
      <c r="N50" s="28">
        <f>N48+N19</f>
        <v>14067</v>
      </c>
      <c r="O50" s="32"/>
      <c r="P50" s="32"/>
      <c r="Q50" s="32"/>
      <c r="R50" s="32"/>
      <c r="S50" s="32"/>
      <c r="T50" s="32"/>
      <c r="U50" s="4">
        <f>U48+U19</f>
        <v>1497</v>
      </c>
      <c r="V50" s="28">
        <f>V48+V19</f>
        <v>105036</v>
      </c>
      <c r="W50" s="11">
        <f>V50/U50</f>
        <v>70.164328657314627</v>
      </c>
      <c r="X50" s="32"/>
      <c r="Y50" s="32"/>
      <c r="AA50" s="32"/>
      <c r="AB50" s="11">
        <f>AD50/AC50</f>
        <v>72.399808245445826</v>
      </c>
      <c r="AC50" s="4">
        <f>AC48+AC19</f>
        <v>1043</v>
      </c>
      <c r="AD50" s="28">
        <f>AD48+AD19</f>
        <v>75513</v>
      </c>
      <c r="AE50" s="32"/>
      <c r="AG50" s="32"/>
      <c r="AH50" s="32"/>
      <c r="AI50" s="32"/>
      <c r="AJ50" s="11">
        <f>AL50/AK50</f>
        <v>72.168408826945409</v>
      </c>
      <c r="AK50" s="4">
        <f>AK48+AK19</f>
        <v>861</v>
      </c>
      <c r="AL50" s="28">
        <f>AL48+AL19</f>
        <v>62137</v>
      </c>
    </row>
    <row r="51" spans="2:45" ht="15.6" x14ac:dyDescent="0.3">
      <c r="B51" s="29" t="s">
        <v>15</v>
      </c>
      <c r="C51" s="32"/>
      <c r="D51" s="32"/>
      <c r="E51" s="4">
        <f>SUM(E44:E46)</f>
        <v>12</v>
      </c>
      <c r="F51" s="28">
        <f>SUM(F44:F46)</f>
        <v>1104</v>
      </c>
      <c r="G51" s="32"/>
      <c r="H51" s="32"/>
      <c r="I51" s="32"/>
      <c r="J51" s="32"/>
      <c r="K51" s="32"/>
      <c r="L51" s="32"/>
      <c r="M51" s="4">
        <f>SUM(M44:M46)</f>
        <v>309</v>
      </c>
      <c r="N51" s="28">
        <f>SUM(N44:N46)</f>
        <v>21355</v>
      </c>
      <c r="O51" s="32"/>
      <c r="P51" s="32"/>
      <c r="Q51" s="32"/>
      <c r="R51" s="32"/>
      <c r="S51" s="32"/>
      <c r="T51" s="32"/>
      <c r="U51" s="4">
        <f>SUM(U44:U46)</f>
        <v>258</v>
      </c>
      <c r="V51" s="28">
        <f>SUM(V44:V46)</f>
        <v>23982</v>
      </c>
      <c r="W51" s="32"/>
      <c r="X51" s="32"/>
      <c r="Y51" s="32"/>
      <c r="Z51" s="32"/>
      <c r="AA51" s="32"/>
      <c r="AB51" s="32"/>
      <c r="AC51" s="4">
        <f>SUM(AC44:AC46)</f>
        <v>258</v>
      </c>
      <c r="AD51" s="28">
        <f>SUM(AD44:AD46)</f>
        <v>23794</v>
      </c>
      <c r="AE51" s="32"/>
      <c r="AF51" s="32"/>
      <c r="AG51" s="32"/>
      <c r="AH51" s="32"/>
      <c r="AI51" s="32"/>
      <c r="AJ51" s="32"/>
      <c r="AK51" s="4">
        <f>SUM(AK44:AK46)</f>
        <v>223</v>
      </c>
      <c r="AL51" s="28">
        <f>SUM(AL44:AL46)</f>
        <v>20925</v>
      </c>
      <c r="AN51" s="27" t="s">
        <v>14</v>
      </c>
      <c r="AO51" s="31">
        <f>M52+E52+U52+AC52+AK52</f>
        <v>642</v>
      </c>
      <c r="AP51" s="30">
        <f>AO52/AO51</f>
        <v>35.48909657320872</v>
      </c>
    </row>
    <row r="52" spans="2:45" ht="15.6" x14ac:dyDescent="0.3">
      <c r="B52" s="29" t="s">
        <v>14</v>
      </c>
      <c r="E52" s="4">
        <f>E47</f>
        <v>27</v>
      </c>
      <c r="F52" s="28">
        <f>F47</f>
        <v>1404</v>
      </c>
      <c r="M52" s="4">
        <f>M47</f>
        <v>204</v>
      </c>
      <c r="N52" s="28">
        <f>N47</f>
        <v>8</v>
      </c>
      <c r="O52" s="32"/>
      <c r="U52" s="4">
        <f>U47</f>
        <v>109</v>
      </c>
      <c r="V52" s="28">
        <f>V47</f>
        <v>5668</v>
      </c>
      <c r="AC52" s="4">
        <f>AC47</f>
        <v>130</v>
      </c>
      <c r="AD52" s="28">
        <f>AD47</f>
        <v>6760</v>
      </c>
      <c r="AK52" s="4">
        <f>AK47</f>
        <v>172</v>
      </c>
      <c r="AL52" s="28">
        <f>AL47</f>
        <v>8944</v>
      </c>
      <c r="AN52" s="27" t="s">
        <v>3</v>
      </c>
      <c r="AO52" s="26">
        <f>N52+F52+V52+AD52+AL52</f>
        <v>22784</v>
      </c>
    </row>
    <row r="53" spans="2:45" ht="15.6" x14ac:dyDescent="0.3">
      <c r="N53">
        <f>SUM(L53:M53)</f>
        <v>0</v>
      </c>
      <c r="O53" s="32">
        <f>N53*50</f>
        <v>0</v>
      </c>
    </row>
    <row r="55" spans="2:45" s="22" customFormat="1" ht="13.8" customHeight="1" x14ac:dyDescent="0.3">
      <c r="B55" s="25" t="s">
        <v>13</v>
      </c>
      <c r="C55" s="24">
        <v>45870</v>
      </c>
      <c r="D55" s="24">
        <v>45871</v>
      </c>
      <c r="E55" s="23" t="s">
        <v>12</v>
      </c>
      <c r="F55" s="23" t="s">
        <v>11</v>
      </c>
      <c r="G55" s="24">
        <v>45873</v>
      </c>
      <c r="H55" s="24">
        <v>45874</v>
      </c>
      <c r="I55" s="24">
        <v>45875</v>
      </c>
      <c r="J55" s="24">
        <v>45876</v>
      </c>
      <c r="K55" s="24">
        <v>45877</v>
      </c>
      <c r="L55" s="24">
        <v>45878</v>
      </c>
      <c r="M55" s="23" t="s">
        <v>12</v>
      </c>
      <c r="N55" s="23" t="s">
        <v>11</v>
      </c>
      <c r="O55" s="24">
        <v>45880</v>
      </c>
      <c r="P55" s="24">
        <v>45881</v>
      </c>
      <c r="Q55" s="24">
        <v>45882</v>
      </c>
      <c r="R55" s="24">
        <v>45883</v>
      </c>
      <c r="S55" s="24">
        <v>45884</v>
      </c>
      <c r="T55" s="24">
        <v>45885</v>
      </c>
      <c r="U55" s="23" t="s">
        <v>12</v>
      </c>
      <c r="V55" s="23" t="s">
        <v>11</v>
      </c>
      <c r="W55" s="24">
        <v>45887</v>
      </c>
      <c r="X55" s="24">
        <v>45888</v>
      </c>
      <c r="Y55" s="24">
        <v>45889</v>
      </c>
      <c r="Z55" s="24">
        <v>45890</v>
      </c>
      <c r="AA55" s="24">
        <v>45891</v>
      </c>
      <c r="AB55" s="24">
        <v>45892</v>
      </c>
      <c r="AC55" s="23" t="s">
        <v>12</v>
      </c>
      <c r="AD55" s="23" t="s">
        <v>11</v>
      </c>
      <c r="AE55" s="24">
        <v>45894</v>
      </c>
      <c r="AF55" s="24">
        <v>45895</v>
      </c>
      <c r="AG55" s="24">
        <v>45896</v>
      </c>
      <c r="AH55" s="24">
        <v>45897</v>
      </c>
      <c r="AI55" s="24">
        <v>45898</v>
      </c>
      <c r="AJ55" s="24">
        <v>45899</v>
      </c>
      <c r="AK55" s="23" t="s">
        <v>12</v>
      </c>
      <c r="AL55" s="23" t="s">
        <v>11</v>
      </c>
    </row>
    <row r="56" spans="2:45" ht="15" customHeight="1" x14ac:dyDescent="0.3">
      <c r="B56" s="17" t="s">
        <v>10</v>
      </c>
      <c r="C56" s="16">
        <v>130</v>
      </c>
      <c r="D56" s="16">
        <v>121</v>
      </c>
      <c r="E56" s="15">
        <f t="shared" ref="E56:E61" si="10">SUM(C56:D56)</f>
        <v>251</v>
      </c>
      <c r="F56" s="14">
        <f>E56*95</f>
        <v>23845</v>
      </c>
      <c r="G56" s="16">
        <v>190</v>
      </c>
      <c r="H56" s="16">
        <v>325</v>
      </c>
      <c r="I56" s="16">
        <v>282</v>
      </c>
      <c r="J56" s="16"/>
      <c r="K56" s="16">
        <v>310</v>
      </c>
      <c r="L56" s="16">
        <v>90</v>
      </c>
      <c r="M56" s="15">
        <f t="shared" ref="M56:M61" si="11">SUM(G56:L56)</f>
        <v>1197</v>
      </c>
      <c r="N56" s="14">
        <v>76</v>
      </c>
      <c r="O56" s="16">
        <v>209</v>
      </c>
      <c r="P56" s="16">
        <v>280</v>
      </c>
      <c r="Q56" s="16">
        <v>305</v>
      </c>
      <c r="R56" s="16">
        <v>156</v>
      </c>
      <c r="S56" s="16">
        <v>110</v>
      </c>
      <c r="T56" s="16">
        <v>389</v>
      </c>
      <c r="U56" s="15">
        <f t="shared" ref="U56:U61" si="12">SUM(O56:T56)</f>
        <v>1449</v>
      </c>
      <c r="V56" s="14">
        <f>U56*95</f>
        <v>137655</v>
      </c>
      <c r="W56" s="16">
        <v>90</v>
      </c>
      <c r="X56" s="16">
        <v>120</v>
      </c>
      <c r="Y56" s="16">
        <v>138</v>
      </c>
      <c r="Z56" s="16">
        <v>290</v>
      </c>
      <c r="AA56" s="16">
        <v>193</v>
      </c>
      <c r="AB56" s="16">
        <v>160</v>
      </c>
      <c r="AC56" s="15">
        <f t="shared" ref="AC56:AC61" si="13">SUM(W56:AB56)</f>
        <v>991</v>
      </c>
      <c r="AD56" s="14">
        <f>AC56*95</f>
        <v>94145</v>
      </c>
      <c r="AE56" s="16">
        <v>136</v>
      </c>
      <c r="AF56" s="16">
        <v>153</v>
      </c>
      <c r="AG56" s="16">
        <v>260</v>
      </c>
      <c r="AH56" s="16">
        <v>218</v>
      </c>
      <c r="AI56" s="16">
        <v>210</v>
      </c>
      <c r="AJ56" s="62"/>
      <c r="AK56" s="15">
        <f t="shared" ref="AK56:AK61" si="14">SUM(AE56:AJ56)</f>
        <v>977</v>
      </c>
      <c r="AL56" s="14">
        <f>AK56*95</f>
        <v>92815</v>
      </c>
    </row>
    <row r="57" spans="2:45" x14ac:dyDescent="0.3">
      <c r="B57" s="17" t="s">
        <v>9</v>
      </c>
      <c r="C57" s="16">
        <v>179</v>
      </c>
      <c r="D57" s="16">
        <v>97</v>
      </c>
      <c r="E57" s="15">
        <f t="shared" si="10"/>
        <v>276</v>
      </c>
      <c r="F57" s="14">
        <f>E57*93</f>
        <v>25668</v>
      </c>
      <c r="G57" s="16">
        <v>205</v>
      </c>
      <c r="H57" s="16">
        <v>392</v>
      </c>
      <c r="I57" s="16">
        <v>322</v>
      </c>
      <c r="J57" s="16"/>
      <c r="K57" s="16">
        <v>385</v>
      </c>
      <c r="L57" s="16">
        <v>100</v>
      </c>
      <c r="M57" s="15">
        <f t="shared" si="11"/>
        <v>1404</v>
      </c>
      <c r="N57" s="14">
        <v>62</v>
      </c>
      <c r="O57" s="16">
        <v>249</v>
      </c>
      <c r="P57" s="16">
        <v>210</v>
      </c>
      <c r="Q57" s="16">
        <v>254</v>
      </c>
      <c r="R57" s="16">
        <v>213</v>
      </c>
      <c r="S57" s="16">
        <v>30</v>
      </c>
      <c r="T57" s="16">
        <v>422</v>
      </c>
      <c r="U57" s="15">
        <f t="shared" si="12"/>
        <v>1378</v>
      </c>
      <c r="V57" s="14">
        <f>U57*93</f>
        <v>128154</v>
      </c>
      <c r="W57" s="16">
        <v>80</v>
      </c>
      <c r="X57" s="16">
        <v>142</v>
      </c>
      <c r="Y57" s="16">
        <v>243</v>
      </c>
      <c r="Z57" s="16">
        <v>279</v>
      </c>
      <c r="AA57" s="16">
        <v>108</v>
      </c>
      <c r="AB57" s="16">
        <v>190</v>
      </c>
      <c r="AC57" s="15">
        <f t="shared" si="13"/>
        <v>1042</v>
      </c>
      <c r="AD57" s="14">
        <f>AC57*93</f>
        <v>96906</v>
      </c>
      <c r="AE57" s="16">
        <v>152</v>
      </c>
      <c r="AF57" s="16">
        <v>185</v>
      </c>
      <c r="AG57" s="16">
        <v>170</v>
      </c>
      <c r="AH57" s="16">
        <v>283</v>
      </c>
      <c r="AI57" s="16">
        <v>265</v>
      </c>
      <c r="AJ57" s="62"/>
      <c r="AK57" s="15">
        <f t="shared" si="14"/>
        <v>1055</v>
      </c>
      <c r="AL57" s="14">
        <f>AK57*93</f>
        <v>98115</v>
      </c>
    </row>
    <row r="58" spans="2:45" ht="15.6" x14ac:dyDescent="0.3">
      <c r="B58" s="17" t="s">
        <v>8</v>
      </c>
      <c r="C58" s="16">
        <v>34</v>
      </c>
      <c r="D58" s="16">
        <v>17</v>
      </c>
      <c r="E58" s="15">
        <f t="shared" si="10"/>
        <v>51</v>
      </c>
      <c r="F58" s="14">
        <f>E58*95</f>
        <v>4845</v>
      </c>
      <c r="G58" s="16">
        <v>25</v>
      </c>
      <c r="H58" s="16">
        <v>57</v>
      </c>
      <c r="I58" s="16">
        <v>119</v>
      </c>
      <c r="J58" s="16">
        <v>50</v>
      </c>
      <c r="K58" s="16">
        <v>48</v>
      </c>
      <c r="L58" s="16">
        <v>12</v>
      </c>
      <c r="M58" s="15">
        <f t="shared" si="11"/>
        <v>311</v>
      </c>
      <c r="N58" s="14">
        <v>26</v>
      </c>
      <c r="O58" s="16">
        <v>30</v>
      </c>
      <c r="P58" s="16">
        <v>95</v>
      </c>
      <c r="Q58" s="16">
        <v>44</v>
      </c>
      <c r="R58" s="16">
        <v>45</v>
      </c>
      <c r="S58" s="16">
        <v>70</v>
      </c>
      <c r="T58" s="16">
        <v>124</v>
      </c>
      <c r="U58" s="15">
        <f t="shared" si="12"/>
        <v>408</v>
      </c>
      <c r="V58" s="14">
        <f>U58*95</f>
        <v>38760</v>
      </c>
      <c r="W58" s="16">
        <v>10</v>
      </c>
      <c r="X58" s="16">
        <v>40</v>
      </c>
      <c r="Y58" s="16">
        <v>48</v>
      </c>
      <c r="Z58" s="16">
        <v>55</v>
      </c>
      <c r="AA58" s="16">
        <v>65</v>
      </c>
      <c r="AB58" s="16">
        <v>4</v>
      </c>
      <c r="AC58" s="15">
        <f t="shared" si="13"/>
        <v>222</v>
      </c>
      <c r="AD58" s="14">
        <f>AC58*95</f>
        <v>21090</v>
      </c>
      <c r="AE58" s="16">
        <v>30</v>
      </c>
      <c r="AF58" s="16">
        <v>124</v>
      </c>
      <c r="AG58" s="16">
        <v>39</v>
      </c>
      <c r="AH58" s="16">
        <v>12</v>
      </c>
      <c r="AI58" s="16">
        <v>35</v>
      </c>
      <c r="AJ58" s="62"/>
      <c r="AK58" s="15">
        <f t="shared" si="14"/>
        <v>240</v>
      </c>
      <c r="AL58" s="14">
        <f>AK58*95</f>
        <v>22800</v>
      </c>
      <c r="AN58" s="19" t="s">
        <v>7</v>
      </c>
      <c r="AO58" s="21">
        <f>E64+M64+U64+AC64+AK64</f>
        <v>11252</v>
      </c>
      <c r="AP58" s="11">
        <f>AO59/AO58</f>
        <v>69.761997867045864</v>
      </c>
      <c r="AS58">
        <f>ABRIL!AO58-AGOSTO!AO58</f>
        <v>-823</v>
      </c>
    </row>
    <row r="59" spans="2:45" ht="15.6" x14ac:dyDescent="0.3">
      <c r="B59" s="17" t="s">
        <v>6</v>
      </c>
      <c r="C59" s="16">
        <v>2</v>
      </c>
      <c r="D59" s="16"/>
      <c r="E59" s="15">
        <f t="shared" si="10"/>
        <v>2</v>
      </c>
      <c r="F59" s="14">
        <f>E59*79</f>
        <v>158</v>
      </c>
      <c r="G59" s="16"/>
      <c r="H59" s="16">
        <v>1</v>
      </c>
      <c r="I59" s="16">
        <v>2</v>
      </c>
      <c r="J59" s="16">
        <v>82</v>
      </c>
      <c r="K59" s="16">
        <v>5</v>
      </c>
      <c r="L59" s="16">
        <v>1</v>
      </c>
      <c r="M59" s="15">
        <f t="shared" si="11"/>
        <v>91</v>
      </c>
      <c r="N59" s="14">
        <v>1</v>
      </c>
      <c r="O59" s="16">
        <v>6</v>
      </c>
      <c r="P59" s="16">
        <v>5</v>
      </c>
      <c r="Q59" s="16">
        <v>4</v>
      </c>
      <c r="R59" s="16">
        <v>1</v>
      </c>
      <c r="S59" s="16">
        <v>3</v>
      </c>
      <c r="T59" s="16">
        <v>15</v>
      </c>
      <c r="U59" s="15">
        <f t="shared" si="12"/>
        <v>34</v>
      </c>
      <c r="V59" s="14">
        <f>U59*79</f>
        <v>2686</v>
      </c>
      <c r="W59" s="16">
        <v>5</v>
      </c>
      <c r="X59" s="16">
        <v>60</v>
      </c>
      <c r="Y59" s="16">
        <v>12</v>
      </c>
      <c r="Z59" s="16"/>
      <c r="AA59" s="16" t="s">
        <v>65</v>
      </c>
      <c r="AB59" s="16">
        <v>6</v>
      </c>
      <c r="AC59" s="15">
        <f t="shared" si="13"/>
        <v>83</v>
      </c>
      <c r="AD59" s="14">
        <f>AC59*79</f>
        <v>6557</v>
      </c>
      <c r="AE59" s="16"/>
      <c r="AF59" s="16">
        <v>5</v>
      </c>
      <c r="AG59" s="16">
        <v>10</v>
      </c>
      <c r="AH59" s="16">
        <v>3</v>
      </c>
      <c r="AI59" s="16">
        <v>8</v>
      </c>
      <c r="AJ59" s="62"/>
      <c r="AK59" s="15">
        <f t="shared" si="14"/>
        <v>26</v>
      </c>
      <c r="AL59" s="14">
        <f>AK59*79</f>
        <v>2054</v>
      </c>
      <c r="AN59" s="19" t="s">
        <v>3</v>
      </c>
      <c r="AO59" s="18">
        <f>F64+N64+V64+AD64+AL64</f>
        <v>784962</v>
      </c>
    </row>
    <row r="60" spans="2:45" x14ac:dyDescent="0.3">
      <c r="B60" s="17" t="s">
        <v>4</v>
      </c>
      <c r="C60" s="16">
        <v>3</v>
      </c>
      <c r="D60" s="16">
        <v>37</v>
      </c>
      <c r="E60" s="15">
        <f t="shared" si="10"/>
        <v>40</v>
      </c>
      <c r="F60" s="14">
        <f>E60*100</f>
        <v>4000</v>
      </c>
      <c r="G60" s="16">
        <v>45</v>
      </c>
      <c r="H60" s="16">
        <v>28</v>
      </c>
      <c r="I60" s="16">
        <v>82</v>
      </c>
      <c r="J60" s="16">
        <v>150</v>
      </c>
      <c r="K60" s="16">
        <v>20</v>
      </c>
      <c r="L60" s="16">
        <v>38</v>
      </c>
      <c r="M60" s="15">
        <f t="shared" si="11"/>
        <v>363</v>
      </c>
      <c r="N60" s="14">
        <v>34</v>
      </c>
      <c r="O60" s="16">
        <v>61</v>
      </c>
      <c r="P60" s="16">
        <v>155</v>
      </c>
      <c r="Q60" s="16">
        <v>22</v>
      </c>
      <c r="R60" s="16">
        <v>50</v>
      </c>
      <c r="S60" s="16">
        <v>20</v>
      </c>
      <c r="T60" s="16">
        <v>99</v>
      </c>
      <c r="U60" s="15">
        <f t="shared" si="12"/>
        <v>407</v>
      </c>
      <c r="V60" s="14">
        <f>U60*100</f>
        <v>40700</v>
      </c>
      <c r="W60" s="16"/>
      <c r="X60" s="16"/>
      <c r="Y60" s="16">
        <v>42</v>
      </c>
      <c r="Z60" s="16">
        <v>77</v>
      </c>
      <c r="AA60" s="16">
        <v>390</v>
      </c>
      <c r="AB60" s="16">
        <v>10</v>
      </c>
      <c r="AC60" s="15">
        <f t="shared" si="13"/>
        <v>519</v>
      </c>
      <c r="AD60" s="14">
        <f>AC60*100</f>
        <v>51900</v>
      </c>
      <c r="AE60" s="16"/>
      <c r="AF60" s="16">
        <v>168</v>
      </c>
      <c r="AG60" s="16"/>
      <c r="AH60" s="16">
        <v>70</v>
      </c>
      <c r="AI60" s="16">
        <v>40</v>
      </c>
      <c r="AJ60" s="62"/>
      <c r="AK60" s="15">
        <f t="shared" si="14"/>
        <v>278</v>
      </c>
      <c r="AL60" s="14">
        <f>AK60*100</f>
        <v>27800</v>
      </c>
    </row>
    <row r="61" spans="2:45" ht="15.6" x14ac:dyDescent="0.3">
      <c r="B61" s="17" t="s">
        <v>5</v>
      </c>
      <c r="C61" s="16">
        <v>1</v>
      </c>
      <c r="D61" s="16"/>
      <c r="E61" s="15">
        <f t="shared" si="10"/>
        <v>1</v>
      </c>
      <c r="F61" s="14">
        <f>E61*115</f>
        <v>115</v>
      </c>
      <c r="G61" s="16"/>
      <c r="H61" s="16"/>
      <c r="I61" s="16">
        <v>25</v>
      </c>
      <c r="J61" s="16"/>
      <c r="K61" s="16">
        <v>1</v>
      </c>
      <c r="L61" s="16"/>
      <c r="M61" s="15">
        <f t="shared" si="11"/>
        <v>26</v>
      </c>
      <c r="N61" s="14">
        <f>M61*89</f>
        <v>2314</v>
      </c>
      <c r="O61" s="16"/>
      <c r="P61" s="16"/>
      <c r="Q61" s="16"/>
      <c r="R61" s="16"/>
      <c r="S61" s="16"/>
      <c r="T61" s="16"/>
      <c r="U61" s="15">
        <f t="shared" si="12"/>
        <v>0</v>
      </c>
      <c r="V61" s="14">
        <f>U61*115</f>
        <v>0</v>
      </c>
      <c r="W61" s="16"/>
      <c r="X61" s="16"/>
      <c r="Y61" s="16">
        <v>3</v>
      </c>
      <c r="Z61" s="16"/>
      <c r="AA61" s="16"/>
      <c r="AB61" s="16"/>
      <c r="AC61" s="15">
        <f t="shared" si="13"/>
        <v>3</v>
      </c>
      <c r="AD61" s="14">
        <f>AC61*90</f>
        <v>270</v>
      </c>
      <c r="AE61" s="16"/>
      <c r="AF61" s="16"/>
      <c r="AG61" s="16"/>
      <c r="AH61" s="16"/>
      <c r="AI61" s="16"/>
      <c r="AJ61" s="62"/>
      <c r="AK61" s="15">
        <f t="shared" si="14"/>
        <v>0</v>
      </c>
      <c r="AL61" s="14">
        <f>AK61*115</f>
        <v>0</v>
      </c>
      <c r="AN61" s="13" t="s">
        <v>4</v>
      </c>
      <c r="AO61" s="12">
        <f>E60+M60+U60+AC60+AK60</f>
        <v>1607</v>
      </c>
      <c r="AP61" s="11">
        <f>AO62/AO61</f>
        <v>77.432482887367769</v>
      </c>
    </row>
    <row r="62" spans="2:45" ht="15.6" x14ac:dyDescent="0.3">
      <c r="C62" s="10"/>
      <c r="D62" s="10"/>
      <c r="E62" s="9">
        <f>SUM(E56:E61)</f>
        <v>621</v>
      </c>
      <c r="F62" s="8">
        <f>SUM(F56:F61)</f>
        <v>58631</v>
      </c>
      <c r="G62" s="10"/>
      <c r="H62" s="10"/>
      <c r="I62" s="10"/>
      <c r="J62" s="10"/>
      <c r="K62" s="10"/>
      <c r="L62" s="10"/>
      <c r="M62" s="9">
        <f>SUM(M56:M61)</f>
        <v>3392</v>
      </c>
      <c r="N62" s="8">
        <f>SUM(N56:N61)</f>
        <v>2513</v>
      </c>
      <c r="O62" s="10"/>
      <c r="P62" s="10"/>
      <c r="Q62" s="10"/>
      <c r="R62" s="10"/>
      <c r="S62" s="10"/>
      <c r="T62" s="10"/>
      <c r="U62" s="9">
        <f>SUM(U56:U61)</f>
        <v>3676</v>
      </c>
      <c r="V62" s="8">
        <f>SUM(V56:V61)</f>
        <v>347955</v>
      </c>
      <c r="W62" s="10"/>
      <c r="X62" s="10"/>
      <c r="Y62" s="10"/>
      <c r="Z62" s="10"/>
      <c r="AA62" s="10"/>
      <c r="AB62" s="10"/>
      <c r="AC62" s="9">
        <f>SUM(AC56:AC61)</f>
        <v>2860</v>
      </c>
      <c r="AD62" s="8">
        <f>SUM(AD56:AD61)</f>
        <v>270868</v>
      </c>
      <c r="AE62" s="10"/>
      <c r="AF62" s="10"/>
      <c r="AG62" s="10"/>
      <c r="AH62" s="10"/>
      <c r="AI62" s="10"/>
      <c r="AJ62" s="10"/>
      <c r="AK62" s="9">
        <f>SUM(AK56:AK61)</f>
        <v>2576</v>
      </c>
      <c r="AL62" s="8">
        <f>SUM(AL56:AL61)</f>
        <v>243584</v>
      </c>
      <c r="AN62" s="7" t="s">
        <v>3</v>
      </c>
      <c r="AO62" s="6">
        <f>AD60+F60+N60+V60+AL60</f>
        <v>124434</v>
      </c>
    </row>
    <row r="64" spans="2:45" ht="15.6" x14ac:dyDescent="0.3">
      <c r="E64" s="4">
        <f>E56+E57+E58</f>
        <v>578</v>
      </c>
      <c r="F64" s="3">
        <f>F56+F57+F58</f>
        <v>54358</v>
      </c>
      <c r="M64" s="4">
        <f>M56+M57+M58</f>
        <v>2912</v>
      </c>
      <c r="N64" s="3">
        <f>N56+N57+N58</f>
        <v>164</v>
      </c>
      <c r="U64" s="4">
        <f>U56+U57+U58</f>
        <v>3235</v>
      </c>
      <c r="V64" s="3">
        <f>V56+V57+V58</f>
        <v>304569</v>
      </c>
      <c r="AC64" s="4">
        <f>AC56+AC57+AC58</f>
        <v>2255</v>
      </c>
      <c r="AD64" s="3">
        <f>AD56+AD57+AD58</f>
        <v>212141</v>
      </c>
      <c r="AK64" s="4">
        <f>AK56+AK57+AK58</f>
        <v>2272</v>
      </c>
      <c r="AL64" s="3">
        <f>AL56+AL57+AL58</f>
        <v>213730</v>
      </c>
    </row>
    <row r="66" spans="40:41" x14ac:dyDescent="0.3">
      <c r="AN66" s="2" t="s">
        <v>1</v>
      </c>
      <c r="AO66" s="1">
        <f>AO62+AO59+AO20</f>
        <v>1201729</v>
      </c>
    </row>
  </sheetData>
  <mergeCells count="2">
    <mergeCell ref="AS3:AT3"/>
    <mergeCell ref="AN24:AO24"/>
  </mergeCells>
  <pageMargins left="0.7" right="0.7" top="0.75" bottom="0.75" header="0.3" footer="0.3"/>
  <pageSetup paperSize="9" orientation="portrait" horizontalDpi="360" verticalDpi="360" r:id="rId1"/>
  <ignoredErrors>
    <ignoredError sqref="U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7E61-B20F-4D7A-8DC7-D87F941BA658}">
  <dimension ref="B3:AT66"/>
  <sheetViews>
    <sheetView zoomScale="110" zoomScaleNormal="110" workbookViewId="0">
      <pane xSplit="2" ySplit="3" topLeftCell="AJ13" activePane="bottomRight" state="frozen"/>
      <selection activeCell="O60" sqref="O60"/>
      <selection pane="topRight" activeCell="O60" sqref="O60"/>
      <selection pane="bottomLeft" activeCell="O60" sqref="O60"/>
      <selection pane="bottomRight" activeCell="AN35" sqref="AN35"/>
    </sheetView>
  </sheetViews>
  <sheetFormatPr baseColWidth="10" defaultRowHeight="14.4" x14ac:dyDescent="0.3"/>
  <cols>
    <col min="1" max="1" width="5.6640625" customWidth="1"/>
    <col min="2" max="2" width="18.33203125" customWidth="1"/>
    <col min="9" max="9" width="13.33203125" customWidth="1"/>
    <col min="10" max="10" width="16.109375" customWidth="1"/>
    <col min="17" max="17" width="13.33203125" customWidth="1"/>
    <col min="18" max="18" width="16.109375" customWidth="1"/>
    <col min="25" max="25" width="13.33203125" customWidth="1"/>
    <col min="26" max="26" width="20.21875" customWidth="1"/>
    <col min="27" max="28" width="11.5546875" customWidth="1"/>
    <col min="33" max="33" width="13.33203125" customWidth="1"/>
    <col min="34" max="34" width="20.21875" customWidth="1"/>
    <col min="37" max="37" width="13.33203125" customWidth="1"/>
    <col min="38" max="38" width="20.21875" customWidth="1"/>
    <col min="39" max="39" width="6.5546875" customWidth="1"/>
    <col min="40" max="40" width="15.33203125" customWidth="1"/>
    <col min="41" max="41" width="19.109375" customWidth="1"/>
    <col min="42" max="42" width="13.88671875" customWidth="1"/>
    <col min="44" max="44" width="9.77734375" customWidth="1"/>
    <col min="45" max="45" width="17.109375" customWidth="1"/>
    <col min="46" max="46" width="19.5546875" customWidth="1"/>
  </cols>
  <sheetData>
    <row r="3" spans="2:46" s="22" customFormat="1" ht="13.8" customHeight="1" x14ac:dyDescent="0.3">
      <c r="B3" s="25" t="s">
        <v>13</v>
      </c>
      <c r="C3" s="24">
        <v>45901</v>
      </c>
      <c r="D3" s="24">
        <v>45902</v>
      </c>
      <c r="E3" s="24">
        <v>45903</v>
      </c>
      <c r="F3" s="24">
        <v>45904</v>
      </c>
      <c r="G3" s="24">
        <v>45905</v>
      </c>
      <c r="H3" s="24">
        <v>45906</v>
      </c>
      <c r="I3" s="23" t="s">
        <v>63</v>
      </c>
      <c r="J3" s="23" t="s">
        <v>11</v>
      </c>
      <c r="K3" s="24">
        <v>45908</v>
      </c>
      <c r="L3" s="24">
        <v>45909</v>
      </c>
      <c r="M3" s="24">
        <v>45910</v>
      </c>
      <c r="N3" s="24">
        <v>45911</v>
      </c>
      <c r="O3" s="24">
        <v>45912</v>
      </c>
      <c r="P3" s="24">
        <v>45913</v>
      </c>
      <c r="Q3" s="23" t="s">
        <v>63</v>
      </c>
      <c r="R3" s="23" t="s">
        <v>11</v>
      </c>
      <c r="S3" s="24">
        <v>45915</v>
      </c>
      <c r="T3" s="24">
        <v>45916</v>
      </c>
      <c r="U3" s="24">
        <v>45917</v>
      </c>
      <c r="V3" s="24">
        <v>45918</v>
      </c>
      <c r="W3" s="24">
        <v>45919</v>
      </c>
      <c r="X3" s="24">
        <v>45920</v>
      </c>
      <c r="Y3" s="23" t="s">
        <v>63</v>
      </c>
      <c r="Z3" s="23" t="s">
        <v>11</v>
      </c>
      <c r="AA3" s="24">
        <v>45922</v>
      </c>
      <c r="AB3" s="24">
        <v>45923</v>
      </c>
      <c r="AC3" s="24">
        <v>45924</v>
      </c>
      <c r="AD3" s="24">
        <v>45925</v>
      </c>
      <c r="AE3" s="24">
        <v>45926</v>
      </c>
      <c r="AF3" s="24">
        <v>45927</v>
      </c>
      <c r="AG3" s="23" t="s">
        <v>63</v>
      </c>
      <c r="AH3" s="23" t="s">
        <v>11</v>
      </c>
      <c r="AI3" s="24">
        <v>45929</v>
      </c>
      <c r="AJ3" s="24">
        <v>45930</v>
      </c>
      <c r="AK3" s="23" t="s">
        <v>63</v>
      </c>
      <c r="AL3" s="23" t="s">
        <v>11</v>
      </c>
      <c r="AS3" s="68" t="s">
        <v>76</v>
      </c>
      <c r="AT3" s="69"/>
    </row>
    <row r="4" spans="2:46" ht="15.6" customHeight="1" x14ac:dyDescent="0.3">
      <c r="B4" s="17" t="s">
        <v>62</v>
      </c>
      <c r="C4" s="16">
        <v>61</v>
      </c>
      <c r="D4" s="16">
        <v>84</v>
      </c>
      <c r="E4" s="16">
        <v>55</v>
      </c>
      <c r="F4" s="16"/>
      <c r="G4" s="16">
        <v>82</v>
      </c>
      <c r="H4" s="16">
        <v>39</v>
      </c>
      <c r="I4" s="15">
        <f>SUM(C4:H4)</f>
        <v>321</v>
      </c>
      <c r="J4" s="14" t="s">
        <v>65</v>
      </c>
      <c r="K4" s="16">
        <v>10</v>
      </c>
      <c r="L4" s="16">
        <v>6</v>
      </c>
      <c r="M4" s="16">
        <v>16</v>
      </c>
      <c r="N4" s="16">
        <v>80</v>
      </c>
      <c r="O4" s="16">
        <v>50</v>
      </c>
      <c r="P4" s="16">
        <v>8</v>
      </c>
      <c r="Q4" s="15">
        <f>SUM(K4:P4)</f>
        <v>170</v>
      </c>
      <c r="R4" s="14">
        <f>Q4*60</f>
        <v>10200</v>
      </c>
      <c r="S4" s="16">
        <v>54</v>
      </c>
      <c r="T4" s="16" t="s">
        <v>65</v>
      </c>
      <c r="U4" s="16">
        <v>35</v>
      </c>
      <c r="V4" s="16">
        <v>33</v>
      </c>
      <c r="W4" s="16">
        <v>23</v>
      </c>
      <c r="X4" s="16">
        <v>7</v>
      </c>
      <c r="Y4" s="15">
        <f t="shared" ref="Y4:Y18" si="0">SUM(S4:X4)</f>
        <v>152</v>
      </c>
      <c r="Z4" s="14">
        <f>Y4*60</f>
        <v>9120</v>
      </c>
      <c r="AA4" s="67">
        <v>4</v>
      </c>
      <c r="AB4" s="16">
        <v>16</v>
      </c>
      <c r="AC4" s="16"/>
      <c r="AD4" s="16">
        <v>25</v>
      </c>
      <c r="AE4" s="16">
        <v>80</v>
      </c>
      <c r="AF4" s="16">
        <v>21</v>
      </c>
      <c r="AG4" s="15">
        <f t="shared" ref="AG4:AG18" si="1">SUM(AA4:AF4)</f>
        <v>146</v>
      </c>
      <c r="AH4" s="14">
        <f>AG4*60</f>
        <v>8760</v>
      </c>
      <c r="AI4" s="16">
        <v>42</v>
      </c>
      <c r="AJ4" s="16">
        <v>35</v>
      </c>
      <c r="AK4" s="15">
        <f>SUM(AI4:AJ4)</f>
        <v>77</v>
      </c>
      <c r="AL4" s="14">
        <f>AK4*60</f>
        <v>4620</v>
      </c>
      <c r="AS4" s="60" t="s">
        <v>48</v>
      </c>
      <c r="AT4" s="48">
        <f>AO19</f>
        <v>7022</v>
      </c>
    </row>
    <row r="5" spans="2:46" ht="15.6" x14ac:dyDescent="0.3">
      <c r="B5" s="17" t="s">
        <v>61</v>
      </c>
      <c r="C5" s="16">
        <v>73</v>
      </c>
      <c r="D5" s="16">
        <v>19</v>
      </c>
      <c r="E5" s="16">
        <v>10</v>
      </c>
      <c r="F5" s="16"/>
      <c r="G5" s="16">
        <v>65</v>
      </c>
      <c r="H5" s="16">
        <v>15</v>
      </c>
      <c r="I5" s="15">
        <f t="shared" ref="I5:I18" si="2">SUM(C5:H5)</f>
        <v>182</v>
      </c>
      <c r="J5" s="14">
        <f>I5*60</f>
        <v>10920</v>
      </c>
      <c r="K5" s="16">
        <v>10</v>
      </c>
      <c r="L5" s="16">
        <v>2</v>
      </c>
      <c r="M5" s="16">
        <v>50</v>
      </c>
      <c r="N5" s="16">
        <v>21</v>
      </c>
      <c r="O5" s="16">
        <v>55</v>
      </c>
      <c r="P5" s="16" t="s">
        <v>65</v>
      </c>
      <c r="Q5" s="15">
        <f t="shared" ref="Q5:Q18" si="3">SUM(K5:P5)</f>
        <v>138</v>
      </c>
      <c r="R5" s="14">
        <f>Q5*60</f>
        <v>8280</v>
      </c>
      <c r="S5" s="16">
        <v>23</v>
      </c>
      <c r="T5" s="16">
        <v>10</v>
      </c>
      <c r="U5" s="16">
        <v>13</v>
      </c>
      <c r="V5" s="16">
        <v>9</v>
      </c>
      <c r="W5" s="16">
        <v>10</v>
      </c>
      <c r="X5" s="16">
        <v>4</v>
      </c>
      <c r="Y5" s="15">
        <f t="shared" si="0"/>
        <v>69</v>
      </c>
      <c r="Z5" s="14">
        <f>Y5*60</f>
        <v>4140</v>
      </c>
      <c r="AA5" s="16">
        <v>4</v>
      </c>
      <c r="AB5" s="16">
        <v>26</v>
      </c>
      <c r="AC5" s="16">
        <v>9</v>
      </c>
      <c r="AD5" s="16">
        <v>15</v>
      </c>
      <c r="AE5" s="16">
        <v>35</v>
      </c>
      <c r="AF5" s="16">
        <v>14</v>
      </c>
      <c r="AG5" s="15">
        <f t="shared" si="1"/>
        <v>103</v>
      </c>
      <c r="AH5" s="14">
        <f>AG5*60</f>
        <v>6180</v>
      </c>
      <c r="AI5" s="16">
        <v>42</v>
      </c>
      <c r="AJ5" s="16">
        <v>10</v>
      </c>
      <c r="AK5" s="15">
        <f t="shared" ref="AK5:AK18" si="4">SUM(AI5:AJ5)</f>
        <v>52</v>
      </c>
      <c r="AL5" s="14">
        <f>AK5*60</f>
        <v>3120</v>
      </c>
      <c r="AS5" s="60" t="s">
        <v>3</v>
      </c>
      <c r="AT5" s="46">
        <f>AO20</f>
        <v>490866</v>
      </c>
    </row>
    <row r="6" spans="2:46" ht="15.6" x14ac:dyDescent="0.3">
      <c r="B6" s="17" t="s">
        <v>60</v>
      </c>
      <c r="C6" s="16">
        <v>6</v>
      </c>
      <c r="D6" s="16">
        <v>11</v>
      </c>
      <c r="E6" s="16" t="s">
        <v>65</v>
      </c>
      <c r="F6" s="16"/>
      <c r="G6" s="16" t="s">
        <v>65</v>
      </c>
      <c r="H6" s="16">
        <v>1</v>
      </c>
      <c r="I6" s="15">
        <f t="shared" si="2"/>
        <v>18</v>
      </c>
      <c r="J6" s="14">
        <f>I6*61</f>
        <v>1098</v>
      </c>
      <c r="K6" s="16"/>
      <c r="L6" s="16">
        <v>1</v>
      </c>
      <c r="M6" s="16">
        <v>4</v>
      </c>
      <c r="N6" s="16">
        <v>10</v>
      </c>
      <c r="O6" s="16"/>
      <c r="P6" s="16"/>
      <c r="Q6" s="15">
        <f t="shared" si="3"/>
        <v>15</v>
      </c>
      <c r="R6" s="14">
        <f>Q6*61</f>
        <v>915</v>
      </c>
      <c r="S6" s="16">
        <v>5</v>
      </c>
      <c r="T6" s="16">
        <v>5</v>
      </c>
      <c r="U6" s="16">
        <v>1</v>
      </c>
      <c r="V6" s="16"/>
      <c r="W6" s="16" t="s">
        <v>65</v>
      </c>
      <c r="X6" s="16" t="s">
        <v>65</v>
      </c>
      <c r="Y6" s="15">
        <f t="shared" si="0"/>
        <v>11</v>
      </c>
      <c r="Z6" s="14">
        <f>Y6*61</f>
        <v>671</v>
      </c>
      <c r="AA6" s="16">
        <v>1</v>
      </c>
      <c r="AB6" s="16" t="s">
        <v>65</v>
      </c>
      <c r="AC6" s="16">
        <v>10</v>
      </c>
      <c r="AD6" s="16" t="s">
        <v>65</v>
      </c>
      <c r="AE6" s="16">
        <v>5</v>
      </c>
      <c r="AF6" s="16">
        <v>2</v>
      </c>
      <c r="AG6" s="15">
        <f t="shared" si="1"/>
        <v>18</v>
      </c>
      <c r="AH6" s="14">
        <f>AG6*61</f>
        <v>1098</v>
      </c>
      <c r="AI6" s="16" t="s">
        <v>65</v>
      </c>
      <c r="AJ6" s="16">
        <v>20</v>
      </c>
      <c r="AK6" s="15">
        <f t="shared" si="4"/>
        <v>20</v>
      </c>
      <c r="AL6" s="14">
        <f>AK6*61</f>
        <v>1220</v>
      </c>
      <c r="AS6" s="59" t="s">
        <v>15</v>
      </c>
      <c r="AT6" s="37">
        <f>AO48</f>
        <v>835</v>
      </c>
    </row>
    <row r="7" spans="2:46" ht="15.6" x14ac:dyDescent="0.3">
      <c r="B7" s="17" t="s">
        <v>59</v>
      </c>
      <c r="C7" s="16">
        <v>25</v>
      </c>
      <c r="D7" s="16">
        <v>25</v>
      </c>
      <c r="E7" s="16">
        <v>15</v>
      </c>
      <c r="F7" s="16"/>
      <c r="G7" s="16">
        <v>25</v>
      </c>
      <c r="H7" s="16">
        <v>20</v>
      </c>
      <c r="I7" s="15">
        <f t="shared" si="2"/>
        <v>110</v>
      </c>
      <c r="J7" s="14">
        <f>I7*60</f>
        <v>6600</v>
      </c>
      <c r="K7" s="16">
        <v>1</v>
      </c>
      <c r="L7" s="16">
        <v>1</v>
      </c>
      <c r="M7" s="16"/>
      <c r="N7" s="16">
        <v>24</v>
      </c>
      <c r="O7" s="16">
        <v>5</v>
      </c>
      <c r="P7" s="16">
        <v>2</v>
      </c>
      <c r="Q7" s="15">
        <f t="shared" si="3"/>
        <v>33</v>
      </c>
      <c r="R7" s="14">
        <f>Q7*60</f>
        <v>1980</v>
      </c>
      <c r="S7" s="16"/>
      <c r="T7" s="16">
        <v>20</v>
      </c>
      <c r="U7" s="16">
        <v>19</v>
      </c>
      <c r="V7" s="16">
        <v>15</v>
      </c>
      <c r="W7" s="16">
        <v>5</v>
      </c>
      <c r="X7" s="16">
        <v>1</v>
      </c>
      <c r="Y7" s="15">
        <f t="shared" si="0"/>
        <v>60</v>
      </c>
      <c r="Z7" s="14">
        <f>Y7*60</f>
        <v>3600</v>
      </c>
      <c r="AA7" s="16">
        <v>17</v>
      </c>
      <c r="AB7" s="16">
        <v>16</v>
      </c>
      <c r="AC7" s="16"/>
      <c r="AD7" s="16">
        <v>11</v>
      </c>
      <c r="AE7" s="16">
        <v>35</v>
      </c>
      <c r="AF7" s="16"/>
      <c r="AG7" s="15">
        <f t="shared" si="1"/>
        <v>79</v>
      </c>
      <c r="AH7" s="14">
        <f>AG7*60</f>
        <v>4740</v>
      </c>
      <c r="AI7" s="16">
        <v>5</v>
      </c>
      <c r="AJ7" s="16">
        <v>10</v>
      </c>
      <c r="AK7" s="15">
        <f t="shared" si="4"/>
        <v>15</v>
      </c>
      <c r="AL7" s="14">
        <f>AK7*60</f>
        <v>900</v>
      </c>
      <c r="AS7" s="59" t="s">
        <v>3</v>
      </c>
      <c r="AT7" s="34">
        <f>AO49</f>
        <v>76070</v>
      </c>
    </row>
    <row r="8" spans="2:46" ht="15.6" x14ac:dyDescent="0.3">
      <c r="B8" s="17" t="s">
        <v>58</v>
      </c>
      <c r="C8" s="16">
        <v>8</v>
      </c>
      <c r="D8" s="16">
        <v>30</v>
      </c>
      <c r="E8" s="16">
        <v>30</v>
      </c>
      <c r="F8" s="16"/>
      <c r="G8" s="16">
        <v>30</v>
      </c>
      <c r="H8" s="16">
        <v>3</v>
      </c>
      <c r="I8" s="15">
        <f t="shared" si="2"/>
        <v>101</v>
      </c>
      <c r="J8" s="14">
        <f>I8*60</f>
        <v>6060</v>
      </c>
      <c r="K8" s="16">
        <v>5</v>
      </c>
      <c r="L8" s="16">
        <v>1</v>
      </c>
      <c r="M8" s="16">
        <v>15</v>
      </c>
      <c r="N8" s="16">
        <v>32</v>
      </c>
      <c r="O8" s="16">
        <v>5</v>
      </c>
      <c r="P8" s="16">
        <v>5</v>
      </c>
      <c r="Q8" s="15">
        <f t="shared" si="3"/>
        <v>63</v>
      </c>
      <c r="R8" s="14">
        <f>Q8*60</f>
        <v>3780</v>
      </c>
      <c r="S8" s="16">
        <v>13</v>
      </c>
      <c r="T8" s="16">
        <v>5</v>
      </c>
      <c r="U8" s="16">
        <v>10</v>
      </c>
      <c r="V8" s="16">
        <v>40</v>
      </c>
      <c r="W8" s="16">
        <v>13</v>
      </c>
      <c r="X8" s="16">
        <v>10</v>
      </c>
      <c r="Y8" s="15">
        <f t="shared" si="0"/>
        <v>91</v>
      </c>
      <c r="Z8" s="14">
        <f>Y8*60</f>
        <v>5460</v>
      </c>
      <c r="AA8" s="16">
        <v>19</v>
      </c>
      <c r="AB8" s="16" t="s">
        <v>65</v>
      </c>
      <c r="AC8" s="16">
        <v>17</v>
      </c>
      <c r="AD8" s="16">
        <v>18</v>
      </c>
      <c r="AE8" s="16">
        <v>40</v>
      </c>
      <c r="AF8" s="16">
        <v>4</v>
      </c>
      <c r="AG8" s="15">
        <f t="shared" si="1"/>
        <v>98</v>
      </c>
      <c r="AH8" s="14">
        <f>AG8*60</f>
        <v>5880</v>
      </c>
      <c r="AI8" s="16">
        <v>15</v>
      </c>
      <c r="AJ8" s="16">
        <v>10</v>
      </c>
      <c r="AK8" s="15">
        <f t="shared" si="4"/>
        <v>25</v>
      </c>
      <c r="AL8" s="14">
        <f>AK8*60</f>
        <v>1500</v>
      </c>
      <c r="AS8" s="58" t="s">
        <v>14</v>
      </c>
      <c r="AT8" s="31">
        <f>AO51</f>
        <v>465</v>
      </c>
    </row>
    <row r="9" spans="2:46" ht="15.6" x14ac:dyDescent="0.3">
      <c r="B9" s="17" t="s">
        <v>57</v>
      </c>
      <c r="C9" s="16">
        <v>5</v>
      </c>
      <c r="D9" s="16">
        <v>25</v>
      </c>
      <c r="E9" s="16">
        <v>11</v>
      </c>
      <c r="F9" s="16"/>
      <c r="G9" s="16" t="s">
        <v>65</v>
      </c>
      <c r="H9" s="16"/>
      <c r="I9" s="15">
        <f t="shared" si="2"/>
        <v>41</v>
      </c>
      <c r="J9" s="14">
        <f>I9*60</f>
        <v>2460</v>
      </c>
      <c r="K9" s="16">
        <v>5</v>
      </c>
      <c r="L9" s="16">
        <v>1</v>
      </c>
      <c r="M9" s="16"/>
      <c r="N9" s="16">
        <v>2</v>
      </c>
      <c r="O9" s="16">
        <v>12</v>
      </c>
      <c r="P9" s="16"/>
      <c r="Q9" s="15">
        <f t="shared" si="3"/>
        <v>20</v>
      </c>
      <c r="R9" s="14">
        <f>Q9*60</f>
        <v>1200</v>
      </c>
      <c r="S9" s="16"/>
      <c r="T9" s="16" t="s">
        <v>65</v>
      </c>
      <c r="U9" s="16" t="s">
        <v>65</v>
      </c>
      <c r="V9" s="16"/>
      <c r="W9" s="16">
        <v>20</v>
      </c>
      <c r="X9" s="16">
        <v>10</v>
      </c>
      <c r="Y9" s="15">
        <f t="shared" si="0"/>
        <v>30</v>
      </c>
      <c r="Z9" s="14">
        <f>Y9*60</f>
        <v>1800</v>
      </c>
      <c r="AA9" s="16"/>
      <c r="AB9" s="16">
        <v>5</v>
      </c>
      <c r="AC9" s="16"/>
      <c r="AD9" s="16">
        <v>5</v>
      </c>
      <c r="AE9" s="16">
        <v>2</v>
      </c>
      <c r="AF9" s="16" t="s">
        <v>65</v>
      </c>
      <c r="AG9" s="15">
        <f t="shared" si="1"/>
        <v>12</v>
      </c>
      <c r="AH9" s="14">
        <f>AG9*60</f>
        <v>720</v>
      </c>
      <c r="AI9" s="16">
        <v>3</v>
      </c>
      <c r="AJ9" s="16">
        <v>5</v>
      </c>
      <c r="AK9" s="15">
        <f t="shared" si="4"/>
        <v>8</v>
      </c>
      <c r="AL9" s="14">
        <f>AK9*60</f>
        <v>480</v>
      </c>
      <c r="AS9" s="58" t="s">
        <v>3</v>
      </c>
      <c r="AT9" s="26">
        <f>AO52</f>
        <v>26205</v>
      </c>
    </row>
    <row r="10" spans="2:46" ht="15.6" x14ac:dyDescent="0.3">
      <c r="B10" s="17" t="s">
        <v>56</v>
      </c>
      <c r="C10" s="16"/>
      <c r="D10" s="16">
        <v>21</v>
      </c>
      <c r="E10" s="16">
        <v>20</v>
      </c>
      <c r="F10" s="16"/>
      <c r="G10" s="16" t="s">
        <v>65</v>
      </c>
      <c r="H10" s="16">
        <v>11</v>
      </c>
      <c r="I10" s="15">
        <f t="shared" si="2"/>
        <v>52</v>
      </c>
      <c r="J10" s="14">
        <f>I10*60</f>
        <v>3120</v>
      </c>
      <c r="K10" s="16">
        <v>5</v>
      </c>
      <c r="L10" s="16">
        <v>5</v>
      </c>
      <c r="M10" s="16">
        <v>11</v>
      </c>
      <c r="N10" s="16">
        <v>1</v>
      </c>
      <c r="O10" s="16">
        <v>14</v>
      </c>
      <c r="P10" s="16"/>
      <c r="Q10" s="15">
        <f t="shared" si="3"/>
        <v>36</v>
      </c>
      <c r="R10" s="14">
        <f>Q10*60</f>
        <v>2160</v>
      </c>
      <c r="S10" s="16">
        <v>2</v>
      </c>
      <c r="T10" s="16">
        <v>9</v>
      </c>
      <c r="U10" s="16">
        <v>6</v>
      </c>
      <c r="V10" s="16">
        <v>8</v>
      </c>
      <c r="W10" s="16">
        <v>16</v>
      </c>
      <c r="X10" s="16">
        <v>5</v>
      </c>
      <c r="Y10" s="15">
        <f t="shared" si="0"/>
        <v>46</v>
      </c>
      <c r="Z10" s="14">
        <f>Y10*60</f>
        <v>2760</v>
      </c>
      <c r="AA10" s="16">
        <v>9</v>
      </c>
      <c r="AB10" s="16">
        <v>16</v>
      </c>
      <c r="AC10" s="16"/>
      <c r="AD10" s="16">
        <v>5</v>
      </c>
      <c r="AE10" s="16">
        <v>2</v>
      </c>
      <c r="AF10" s="16" t="s">
        <v>65</v>
      </c>
      <c r="AG10" s="15">
        <f t="shared" si="1"/>
        <v>32</v>
      </c>
      <c r="AH10" s="14">
        <f>AG10*60</f>
        <v>1920</v>
      </c>
      <c r="AI10" s="16">
        <v>8</v>
      </c>
      <c r="AJ10" s="16" t="s">
        <v>65</v>
      </c>
      <c r="AK10" s="15">
        <f t="shared" si="4"/>
        <v>8</v>
      </c>
      <c r="AL10" s="14">
        <f>AK10*60</f>
        <v>480</v>
      </c>
      <c r="AS10" s="57" t="s">
        <v>7</v>
      </c>
      <c r="AT10" s="21">
        <f>AO58</f>
        <v>9326</v>
      </c>
    </row>
    <row r="11" spans="2:46" ht="15.6" x14ac:dyDescent="0.3">
      <c r="B11" s="17" t="s">
        <v>55</v>
      </c>
      <c r="C11" s="16">
        <v>4</v>
      </c>
      <c r="D11" s="16">
        <v>15</v>
      </c>
      <c r="E11" s="16">
        <v>20</v>
      </c>
      <c r="F11" s="16"/>
      <c r="G11" s="16">
        <v>1</v>
      </c>
      <c r="H11" s="16"/>
      <c r="I11" s="15">
        <f t="shared" si="2"/>
        <v>40</v>
      </c>
      <c r="J11" s="14">
        <f>I11*65</f>
        <v>2600</v>
      </c>
      <c r="K11" s="16">
        <v>2</v>
      </c>
      <c r="L11" s="16">
        <v>1</v>
      </c>
      <c r="M11" s="16">
        <v>40</v>
      </c>
      <c r="N11" s="16" t="s">
        <v>65</v>
      </c>
      <c r="O11" s="16"/>
      <c r="P11" s="16">
        <v>5</v>
      </c>
      <c r="Q11" s="15">
        <f t="shared" si="3"/>
        <v>48</v>
      </c>
      <c r="R11" s="14">
        <f>Q11*65</f>
        <v>3120</v>
      </c>
      <c r="S11" s="16"/>
      <c r="T11" s="16" t="s">
        <v>65</v>
      </c>
      <c r="U11" s="16" t="s">
        <v>65</v>
      </c>
      <c r="V11" s="16">
        <v>5</v>
      </c>
      <c r="W11" s="16">
        <v>12</v>
      </c>
      <c r="X11" s="16" t="s">
        <v>65</v>
      </c>
      <c r="Y11" s="15">
        <f t="shared" si="0"/>
        <v>17</v>
      </c>
      <c r="Z11" s="14">
        <f>Y11*65</f>
        <v>1105</v>
      </c>
      <c r="AA11" s="16">
        <v>32</v>
      </c>
      <c r="AB11" s="16">
        <v>6</v>
      </c>
      <c r="AC11" s="16">
        <v>2</v>
      </c>
      <c r="AD11" s="16">
        <v>4</v>
      </c>
      <c r="AE11" s="16">
        <v>1</v>
      </c>
      <c r="AF11" s="16" t="s">
        <v>65</v>
      </c>
      <c r="AG11" s="15">
        <f t="shared" si="1"/>
        <v>45</v>
      </c>
      <c r="AH11" s="14">
        <f>AG11*65</f>
        <v>2925</v>
      </c>
      <c r="AI11" s="16">
        <v>1</v>
      </c>
      <c r="AJ11" s="16">
        <v>5</v>
      </c>
      <c r="AK11" s="15">
        <f t="shared" si="4"/>
        <v>6</v>
      </c>
      <c r="AL11" s="14">
        <f>AK11*65</f>
        <v>390</v>
      </c>
      <c r="AS11" s="57" t="s">
        <v>3</v>
      </c>
      <c r="AT11" s="18">
        <f>AO59</f>
        <v>861832</v>
      </c>
    </row>
    <row r="12" spans="2:46" ht="15.6" x14ac:dyDescent="0.3">
      <c r="B12" s="17" t="s">
        <v>54</v>
      </c>
      <c r="C12" s="16">
        <v>4</v>
      </c>
      <c r="D12" s="16">
        <v>16</v>
      </c>
      <c r="E12" s="16">
        <v>20</v>
      </c>
      <c r="F12" s="16"/>
      <c r="G12" s="16">
        <v>1</v>
      </c>
      <c r="H12" s="16"/>
      <c r="I12" s="15">
        <f t="shared" si="2"/>
        <v>41</v>
      </c>
      <c r="J12" s="14">
        <f>I12*65</f>
        <v>2665</v>
      </c>
      <c r="K12" s="16">
        <v>1</v>
      </c>
      <c r="L12" s="16">
        <v>1</v>
      </c>
      <c r="M12" s="16">
        <v>150</v>
      </c>
      <c r="N12" s="16">
        <v>2</v>
      </c>
      <c r="O12" s="16"/>
      <c r="P12" s="16"/>
      <c r="Q12" s="15">
        <f t="shared" si="3"/>
        <v>154</v>
      </c>
      <c r="R12" s="14">
        <f>Q12*65</f>
        <v>10010</v>
      </c>
      <c r="S12" s="20"/>
      <c r="T12" s="16" t="s">
        <v>65</v>
      </c>
      <c r="U12" s="16">
        <v>1</v>
      </c>
      <c r="V12" s="16">
        <v>5</v>
      </c>
      <c r="W12" s="16">
        <v>13</v>
      </c>
      <c r="X12" s="16" t="s">
        <v>65</v>
      </c>
      <c r="Y12" s="15">
        <f t="shared" si="0"/>
        <v>19</v>
      </c>
      <c r="Z12" s="14">
        <f>Y12*65</f>
        <v>1235</v>
      </c>
      <c r="AA12" s="16">
        <v>3</v>
      </c>
      <c r="AB12" s="16" t="s">
        <v>65</v>
      </c>
      <c r="AC12" s="16">
        <v>1</v>
      </c>
      <c r="AD12" s="16">
        <v>1</v>
      </c>
      <c r="AE12" s="16">
        <v>1</v>
      </c>
      <c r="AF12" s="16">
        <v>15</v>
      </c>
      <c r="AG12" s="15">
        <f t="shared" si="1"/>
        <v>21</v>
      </c>
      <c r="AH12" s="14">
        <f>AG12*65</f>
        <v>1365</v>
      </c>
      <c r="AI12" s="16">
        <v>1</v>
      </c>
      <c r="AJ12" s="16" t="s">
        <v>65</v>
      </c>
      <c r="AK12" s="15">
        <f t="shared" si="4"/>
        <v>1</v>
      </c>
      <c r="AL12" s="14">
        <f>AK12*65</f>
        <v>65</v>
      </c>
      <c r="AS12" s="56" t="s">
        <v>4</v>
      </c>
      <c r="AT12" s="12">
        <f>AO61</f>
        <v>985</v>
      </c>
    </row>
    <row r="13" spans="2:46" ht="15.6" x14ac:dyDescent="0.3">
      <c r="B13" s="17" t="s">
        <v>40</v>
      </c>
      <c r="C13" s="16">
        <v>31</v>
      </c>
      <c r="D13" s="16">
        <v>93</v>
      </c>
      <c r="E13" s="16">
        <v>75</v>
      </c>
      <c r="F13" s="16">
        <v>15</v>
      </c>
      <c r="G13" s="16">
        <v>2</v>
      </c>
      <c r="H13" s="16">
        <v>72</v>
      </c>
      <c r="I13" s="15">
        <f t="shared" si="2"/>
        <v>288</v>
      </c>
      <c r="J13" s="14">
        <f>I13*95</f>
        <v>27360</v>
      </c>
      <c r="K13" s="16">
        <v>10</v>
      </c>
      <c r="L13" s="16">
        <v>16</v>
      </c>
      <c r="M13" s="16">
        <v>37</v>
      </c>
      <c r="N13" s="16">
        <v>88</v>
      </c>
      <c r="O13" s="16">
        <v>10</v>
      </c>
      <c r="P13" s="16">
        <v>8</v>
      </c>
      <c r="Q13" s="15">
        <f t="shared" si="3"/>
        <v>169</v>
      </c>
      <c r="R13" s="14">
        <f>Q13*95</f>
        <v>16055</v>
      </c>
      <c r="S13" s="16">
        <v>32</v>
      </c>
      <c r="T13" s="16">
        <v>15</v>
      </c>
      <c r="U13" s="16">
        <v>25</v>
      </c>
      <c r="V13" s="16">
        <v>45</v>
      </c>
      <c r="W13" s="16">
        <v>25</v>
      </c>
      <c r="X13" s="16">
        <v>18</v>
      </c>
      <c r="Y13" s="15">
        <f t="shared" si="0"/>
        <v>160</v>
      </c>
      <c r="Z13" s="14">
        <f>Y13*95</f>
        <v>15200</v>
      </c>
      <c r="AA13" s="16">
        <v>12</v>
      </c>
      <c r="AB13" s="16">
        <v>74</v>
      </c>
      <c r="AC13" s="16">
        <v>20</v>
      </c>
      <c r="AD13" s="16" t="s">
        <v>65</v>
      </c>
      <c r="AE13" s="16">
        <v>31</v>
      </c>
      <c r="AF13" s="16">
        <v>10</v>
      </c>
      <c r="AG13" s="15">
        <f t="shared" si="1"/>
        <v>147</v>
      </c>
      <c r="AH13" s="14">
        <f>AG13*95</f>
        <v>13965</v>
      </c>
      <c r="AI13" s="16">
        <v>61</v>
      </c>
      <c r="AJ13" s="16" t="s">
        <v>65</v>
      </c>
      <c r="AK13" s="15">
        <f t="shared" si="4"/>
        <v>61</v>
      </c>
      <c r="AL13" s="14">
        <f>AK13*95</f>
        <v>5795</v>
      </c>
      <c r="AS13" s="55" t="s">
        <v>3</v>
      </c>
      <c r="AT13" s="6">
        <f>AO62</f>
        <v>96448</v>
      </c>
    </row>
    <row r="14" spans="2:46" x14ac:dyDescent="0.3">
      <c r="B14" s="17" t="s">
        <v>53</v>
      </c>
      <c r="C14" s="16">
        <v>32</v>
      </c>
      <c r="D14" s="16">
        <v>74</v>
      </c>
      <c r="E14" s="16">
        <v>20</v>
      </c>
      <c r="F14" s="16">
        <v>10</v>
      </c>
      <c r="G14" s="16">
        <v>10</v>
      </c>
      <c r="H14" s="16">
        <v>42</v>
      </c>
      <c r="I14" s="15">
        <f t="shared" si="2"/>
        <v>188</v>
      </c>
      <c r="J14" s="14">
        <f>I14*105</f>
        <v>19740</v>
      </c>
      <c r="K14" s="16">
        <v>10</v>
      </c>
      <c r="L14" s="16">
        <v>14</v>
      </c>
      <c r="M14" s="16">
        <v>32</v>
      </c>
      <c r="N14" s="16">
        <v>3</v>
      </c>
      <c r="O14" s="16">
        <v>10</v>
      </c>
      <c r="P14" s="16">
        <v>2</v>
      </c>
      <c r="Q14" s="15">
        <f t="shared" si="3"/>
        <v>71</v>
      </c>
      <c r="R14" s="14">
        <f>Q14*105</f>
        <v>7455</v>
      </c>
      <c r="S14" s="16">
        <v>20</v>
      </c>
      <c r="T14" s="16"/>
      <c r="U14" s="16">
        <v>25</v>
      </c>
      <c r="V14" s="16">
        <v>10</v>
      </c>
      <c r="W14" s="16">
        <v>24</v>
      </c>
      <c r="X14" s="16">
        <v>22</v>
      </c>
      <c r="Y14" s="15">
        <f t="shared" si="0"/>
        <v>101</v>
      </c>
      <c r="Z14" s="14">
        <f>Y14*105</f>
        <v>10605</v>
      </c>
      <c r="AA14" s="16">
        <v>19</v>
      </c>
      <c r="AB14" s="16">
        <v>59</v>
      </c>
      <c r="AC14" s="16">
        <v>13</v>
      </c>
      <c r="AD14" s="16">
        <v>10</v>
      </c>
      <c r="AE14" s="16">
        <v>48</v>
      </c>
      <c r="AF14" s="16"/>
      <c r="AG14" s="15">
        <f t="shared" si="1"/>
        <v>149</v>
      </c>
      <c r="AH14" s="14">
        <f>AG14*105</f>
        <v>15645</v>
      </c>
      <c r="AI14" s="16">
        <v>27</v>
      </c>
      <c r="AJ14" s="16" t="s">
        <v>65</v>
      </c>
      <c r="AK14" s="15">
        <f t="shared" si="4"/>
        <v>27</v>
      </c>
      <c r="AL14" s="14">
        <f>AK14*105</f>
        <v>2835</v>
      </c>
      <c r="AS14" s="10"/>
    </row>
    <row r="15" spans="2:46" ht="15.6" x14ac:dyDescent="0.3">
      <c r="B15" s="17" t="s">
        <v>52</v>
      </c>
      <c r="C15" s="16">
        <v>11</v>
      </c>
      <c r="D15" s="16">
        <v>12</v>
      </c>
      <c r="E15" s="16">
        <v>5</v>
      </c>
      <c r="F15" s="16"/>
      <c r="G15" s="16"/>
      <c r="H15" s="16">
        <v>4</v>
      </c>
      <c r="I15" s="15">
        <f t="shared" si="2"/>
        <v>32</v>
      </c>
      <c r="J15" s="14">
        <f>I15*110</f>
        <v>3520</v>
      </c>
      <c r="K15" s="16">
        <v>10</v>
      </c>
      <c r="L15" s="16">
        <v>4</v>
      </c>
      <c r="M15" s="16"/>
      <c r="N15" s="16"/>
      <c r="O15" s="16"/>
      <c r="P15" s="16"/>
      <c r="Q15" s="15">
        <f t="shared" si="3"/>
        <v>14</v>
      </c>
      <c r="R15" s="14">
        <f>Q15*110</f>
        <v>1540</v>
      </c>
      <c r="S15" s="16"/>
      <c r="T15" s="16"/>
      <c r="U15" s="16" t="s">
        <v>65</v>
      </c>
      <c r="V15" s="16">
        <v>5</v>
      </c>
      <c r="W15" s="16">
        <v>5</v>
      </c>
      <c r="X15" s="16"/>
      <c r="Y15" s="15">
        <f t="shared" si="0"/>
        <v>10</v>
      </c>
      <c r="Z15" s="14">
        <f>Y15*110</f>
        <v>1100</v>
      </c>
      <c r="AA15" s="16">
        <v>5</v>
      </c>
      <c r="AB15" s="16"/>
      <c r="AC15" s="16">
        <v>8</v>
      </c>
      <c r="AD15" s="16" t="s">
        <v>65</v>
      </c>
      <c r="AE15" s="16">
        <v>13</v>
      </c>
      <c r="AF15" s="16"/>
      <c r="AG15" s="15">
        <f t="shared" si="1"/>
        <v>26</v>
      </c>
      <c r="AH15" s="14">
        <f>AG15*110</f>
        <v>2860</v>
      </c>
      <c r="AI15" s="16">
        <v>5</v>
      </c>
      <c r="AJ15" s="16"/>
      <c r="AK15" s="15">
        <f t="shared" si="4"/>
        <v>5</v>
      </c>
      <c r="AL15" s="14">
        <f>AK15*110</f>
        <v>550</v>
      </c>
      <c r="AS15" s="54" t="s">
        <v>51</v>
      </c>
      <c r="AT15" s="66">
        <v>339350</v>
      </c>
    </row>
    <row r="16" spans="2:46" x14ac:dyDescent="0.3">
      <c r="B16" s="17" t="s">
        <v>50</v>
      </c>
      <c r="C16" s="16">
        <v>3</v>
      </c>
      <c r="D16" s="16" t="s">
        <v>65</v>
      </c>
      <c r="E16" s="16"/>
      <c r="F16" s="16"/>
      <c r="G16" s="16"/>
      <c r="H16" s="16"/>
      <c r="I16" s="15">
        <f t="shared" si="2"/>
        <v>3</v>
      </c>
      <c r="J16" s="14">
        <v>0</v>
      </c>
      <c r="K16" s="20">
        <v>6</v>
      </c>
      <c r="L16" s="16"/>
      <c r="M16" s="16"/>
      <c r="N16" s="16">
        <v>4</v>
      </c>
      <c r="O16" s="16"/>
      <c r="P16" s="16"/>
      <c r="Q16" s="15">
        <f t="shared" si="3"/>
        <v>10</v>
      </c>
      <c r="R16" s="14">
        <f>Q16*70</f>
        <v>700</v>
      </c>
      <c r="S16" s="16"/>
      <c r="T16" s="16"/>
      <c r="U16" s="16" t="s">
        <v>65</v>
      </c>
      <c r="V16" s="16">
        <v>10</v>
      </c>
      <c r="W16" s="16"/>
      <c r="X16" s="16"/>
      <c r="Y16" s="15">
        <f t="shared" si="0"/>
        <v>10</v>
      </c>
      <c r="Z16" s="14">
        <f>Y16*70</f>
        <v>700</v>
      </c>
      <c r="AA16" s="16"/>
      <c r="AB16" s="16">
        <v>15</v>
      </c>
      <c r="AC16" s="16"/>
      <c r="AD16" s="16">
        <v>3</v>
      </c>
      <c r="AE16" s="16">
        <v>16</v>
      </c>
      <c r="AF16" s="16"/>
      <c r="AG16" s="15">
        <f t="shared" si="1"/>
        <v>34</v>
      </c>
      <c r="AH16" s="14">
        <f>AG16*70</f>
        <v>2380</v>
      </c>
      <c r="AI16" s="16"/>
      <c r="AJ16" s="16"/>
      <c r="AK16" s="15">
        <f t="shared" si="4"/>
        <v>0</v>
      </c>
      <c r="AL16" s="14">
        <f>AK16*70</f>
        <v>0</v>
      </c>
    </row>
    <row r="17" spans="2:43" x14ac:dyDescent="0.3">
      <c r="B17" s="17" t="s">
        <v>28</v>
      </c>
      <c r="C17" s="16"/>
      <c r="D17" s="16"/>
      <c r="E17" s="16"/>
      <c r="F17" s="16"/>
      <c r="G17" s="16"/>
      <c r="H17" s="16"/>
      <c r="I17" s="15">
        <f t="shared" si="2"/>
        <v>0</v>
      </c>
      <c r="J17" s="14">
        <f>I17*0</f>
        <v>0</v>
      </c>
      <c r="K17" s="16"/>
      <c r="L17" s="16"/>
      <c r="M17" s="16"/>
      <c r="N17" s="16" t="s">
        <v>66</v>
      </c>
      <c r="O17" s="16"/>
      <c r="P17" s="16"/>
      <c r="Q17" s="15">
        <f t="shared" si="3"/>
        <v>0</v>
      </c>
      <c r="R17" s="14">
        <f>Q17*0</f>
        <v>0</v>
      </c>
      <c r="S17" s="16"/>
      <c r="T17" s="16"/>
      <c r="U17" s="16" t="s">
        <v>65</v>
      </c>
      <c r="V17" s="16"/>
      <c r="W17" s="16"/>
      <c r="X17" s="16"/>
      <c r="Y17" s="15">
        <f t="shared" si="0"/>
        <v>0</v>
      </c>
      <c r="Z17" s="14">
        <f>Y17*0</f>
        <v>0</v>
      </c>
      <c r="AA17" s="16"/>
      <c r="AB17" s="16"/>
      <c r="AC17" s="16"/>
      <c r="AD17" s="16"/>
      <c r="AE17" s="16"/>
      <c r="AF17" s="16"/>
      <c r="AG17" s="15">
        <f t="shared" si="1"/>
        <v>0</v>
      </c>
      <c r="AH17" s="14">
        <f>AG17*0</f>
        <v>0</v>
      </c>
      <c r="AI17" s="16"/>
      <c r="AJ17" s="16"/>
      <c r="AK17" s="15">
        <f t="shared" si="4"/>
        <v>0</v>
      </c>
      <c r="AL17" s="14">
        <f>AK17*0</f>
        <v>0</v>
      </c>
    </row>
    <row r="18" spans="2:43" x14ac:dyDescent="0.3">
      <c r="B18" s="17" t="s">
        <v>49</v>
      </c>
      <c r="C18" s="16"/>
      <c r="D18" s="16"/>
      <c r="E18" s="16"/>
      <c r="F18" s="16"/>
      <c r="G18" s="16" t="s">
        <v>65</v>
      </c>
      <c r="H18" s="16"/>
      <c r="I18" s="15">
        <f t="shared" si="2"/>
        <v>0</v>
      </c>
      <c r="J18" s="14">
        <f>I18*0</f>
        <v>0</v>
      </c>
      <c r="K18" s="16" t="s">
        <v>65</v>
      </c>
      <c r="L18" s="16"/>
      <c r="M18" s="16"/>
      <c r="N18" s="16" t="s">
        <v>65</v>
      </c>
      <c r="O18" s="16" t="s">
        <v>65</v>
      </c>
      <c r="P18" s="16" t="s">
        <v>65</v>
      </c>
      <c r="Q18" s="15">
        <f t="shared" si="3"/>
        <v>0</v>
      </c>
      <c r="R18" s="14">
        <f>Q18*0</f>
        <v>0</v>
      </c>
      <c r="S18" s="16" t="s">
        <v>65</v>
      </c>
      <c r="T18" s="16" t="s">
        <v>65</v>
      </c>
      <c r="U18" s="16" t="s">
        <v>65</v>
      </c>
      <c r="V18" s="16" t="s">
        <v>65</v>
      </c>
      <c r="W18" s="16" t="s">
        <v>65</v>
      </c>
      <c r="X18" s="16"/>
      <c r="Y18" s="15">
        <f t="shared" si="0"/>
        <v>0</v>
      </c>
      <c r="Z18" s="14">
        <f>Y18*0</f>
        <v>0</v>
      </c>
      <c r="AA18" s="16"/>
      <c r="AB18" s="16"/>
      <c r="AC18" s="16"/>
      <c r="AD18" s="16"/>
      <c r="AE18" s="16"/>
      <c r="AF18" s="16"/>
      <c r="AG18" s="15">
        <f t="shared" si="1"/>
        <v>0</v>
      </c>
      <c r="AH18" s="14">
        <f>AG18*0</f>
        <v>0</v>
      </c>
      <c r="AI18" s="16"/>
      <c r="AJ18" s="16"/>
      <c r="AK18" s="15">
        <f t="shared" si="4"/>
        <v>0</v>
      </c>
      <c r="AL18" s="14">
        <f>AK18*0</f>
        <v>0</v>
      </c>
    </row>
    <row r="19" spans="2:43" ht="15.6" x14ac:dyDescent="0.3">
      <c r="B19" s="52"/>
      <c r="C19" s="50"/>
      <c r="D19" s="50"/>
      <c r="E19" s="50"/>
      <c r="F19" s="50"/>
      <c r="G19" s="50"/>
      <c r="H19" s="50"/>
      <c r="I19" s="39">
        <f>SUM(I4:I16)</f>
        <v>1417</v>
      </c>
      <c r="J19" s="49">
        <f>SUM(J4:J16)</f>
        <v>86143</v>
      </c>
      <c r="K19" s="50"/>
      <c r="L19" s="50"/>
      <c r="M19" s="50"/>
      <c r="N19" s="50"/>
      <c r="O19" s="50"/>
      <c r="P19" s="50"/>
      <c r="Q19" s="39">
        <f>SUM(Q4:Q16)</f>
        <v>941</v>
      </c>
      <c r="R19" s="49">
        <f>SUM(R4:R16)</f>
        <v>67395</v>
      </c>
      <c r="S19" s="50"/>
      <c r="T19" s="50"/>
      <c r="U19" s="50"/>
      <c r="V19" s="50"/>
      <c r="W19" s="50"/>
      <c r="X19" s="50"/>
      <c r="Y19" s="39">
        <f>SUM(Y4:Y16)</f>
        <v>776</v>
      </c>
      <c r="Z19" s="49">
        <f>SUM(Z4:Z16)</f>
        <v>57496</v>
      </c>
      <c r="AA19" s="50"/>
      <c r="AB19" s="50"/>
      <c r="AC19" s="50"/>
      <c r="AD19" s="50"/>
      <c r="AE19" s="50"/>
      <c r="AF19" s="50"/>
      <c r="AG19" s="39">
        <f>SUM(AG4:AG16)</f>
        <v>910</v>
      </c>
      <c r="AH19" s="49">
        <f>SUM(AH4:AH16)</f>
        <v>68438</v>
      </c>
      <c r="AI19" s="50"/>
      <c r="AJ19" s="50"/>
      <c r="AK19" s="39">
        <f>SUM(AK4:AK16)</f>
        <v>305</v>
      </c>
      <c r="AL19" s="49">
        <f>SUM(AL4:AL16)</f>
        <v>21955</v>
      </c>
      <c r="AN19" s="47" t="s">
        <v>48</v>
      </c>
      <c r="AO19" s="48">
        <f>I50+Q50+Y50+AG50+AK50</f>
        <v>7022</v>
      </c>
      <c r="AP19" s="30">
        <f>AO20/AO19</f>
        <v>69.904015949871834</v>
      </c>
    </row>
    <row r="20" spans="2:43" ht="15.6" customHeight="1" x14ac:dyDescent="0.3">
      <c r="B20" s="42" t="s">
        <v>47</v>
      </c>
      <c r="C20" s="16" t="s">
        <v>65</v>
      </c>
      <c r="D20" s="16" t="s">
        <v>65</v>
      </c>
      <c r="E20" s="16"/>
      <c r="F20" s="16"/>
      <c r="G20" s="16">
        <v>48</v>
      </c>
      <c r="H20" s="16">
        <v>5</v>
      </c>
      <c r="I20" s="15">
        <f>SUM(C20:H20)</f>
        <v>53</v>
      </c>
      <c r="J20" s="14">
        <f>I20*85</f>
        <v>4505</v>
      </c>
      <c r="K20" s="16"/>
      <c r="L20" s="16"/>
      <c r="M20" s="16">
        <v>2</v>
      </c>
      <c r="N20" s="16"/>
      <c r="O20" s="16"/>
      <c r="P20" s="16"/>
      <c r="Q20" s="15">
        <f>SUM(K20:P20)</f>
        <v>2</v>
      </c>
      <c r="R20" s="14">
        <f>Q20*85</f>
        <v>170</v>
      </c>
      <c r="S20" s="16"/>
      <c r="T20" s="16"/>
      <c r="U20" s="16" t="s">
        <v>65</v>
      </c>
      <c r="V20" s="16">
        <v>35</v>
      </c>
      <c r="W20" s="16"/>
      <c r="X20" s="16"/>
      <c r="Y20" s="15">
        <f>SUM(S20:X20)</f>
        <v>35</v>
      </c>
      <c r="Z20" s="14">
        <f>Y20*98</f>
        <v>3430</v>
      </c>
      <c r="AA20" s="16"/>
      <c r="AB20" s="16"/>
      <c r="AC20" s="16"/>
      <c r="AD20" s="16"/>
      <c r="AE20" s="16">
        <v>75</v>
      </c>
      <c r="AF20" s="16">
        <v>23</v>
      </c>
      <c r="AG20" s="15">
        <f t="shared" ref="AG20:AG47" si="5">SUM(AA20:AF20)</f>
        <v>98</v>
      </c>
      <c r="AH20" s="14">
        <f>AG20*98</f>
        <v>9604</v>
      </c>
      <c r="AI20" s="16">
        <v>10</v>
      </c>
      <c r="AJ20" s="16"/>
      <c r="AK20" s="15">
        <f>SUM(AI20:AJ20)</f>
        <v>10</v>
      </c>
      <c r="AL20" s="14">
        <f>AK20*98</f>
        <v>980</v>
      </c>
      <c r="AN20" s="47" t="s">
        <v>3</v>
      </c>
      <c r="AO20" s="46">
        <f>J50+R50+Z50+AH50+AL50</f>
        <v>490866</v>
      </c>
    </row>
    <row r="21" spans="2:43" x14ac:dyDescent="0.3">
      <c r="B21" s="42" t="s">
        <v>46</v>
      </c>
      <c r="C21" s="16">
        <v>10</v>
      </c>
      <c r="D21" s="16" t="s">
        <v>65</v>
      </c>
      <c r="E21" s="16"/>
      <c r="F21" s="16"/>
      <c r="G21" s="16">
        <v>38</v>
      </c>
      <c r="H21" s="16"/>
      <c r="I21" s="15">
        <f t="shared" ref="I21:I43" si="6">SUM(C21:H21)</f>
        <v>48</v>
      </c>
      <c r="J21" s="14">
        <f>I21*84</f>
        <v>4032</v>
      </c>
      <c r="K21" s="16">
        <v>10</v>
      </c>
      <c r="L21" s="16"/>
      <c r="M21" s="16">
        <v>22</v>
      </c>
      <c r="N21" s="16"/>
      <c r="O21" s="16"/>
      <c r="P21" s="16"/>
      <c r="Q21" s="15">
        <f t="shared" ref="Q21:Q43" si="7">SUM(K21:P21)</f>
        <v>32</v>
      </c>
      <c r="R21" s="14">
        <f>Q21*84</f>
        <v>2688</v>
      </c>
      <c r="S21" s="16" t="s">
        <v>65</v>
      </c>
      <c r="T21" s="16"/>
      <c r="U21" s="16" t="s">
        <v>65</v>
      </c>
      <c r="V21" s="16">
        <v>30</v>
      </c>
      <c r="W21" s="16"/>
      <c r="X21" s="16">
        <v>20</v>
      </c>
      <c r="Y21" s="15">
        <f t="shared" ref="Y21:Y47" si="8">SUM(S21:X21)</f>
        <v>50</v>
      </c>
      <c r="Z21" s="14">
        <f>Y21*96</f>
        <v>4800</v>
      </c>
      <c r="AA21" s="16">
        <v>10</v>
      </c>
      <c r="AB21" s="16"/>
      <c r="AC21" s="16"/>
      <c r="AD21" s="16"/>
      <c r="AE21" s="16">
        <v>60</v>
      </c>
      <c r="AF21" s="16" t="s">
        <v>65</v>
      </c>
      <c r="AG21" s="15">
        <f t="shared" si="5"/>
        <v>70</v>
      </c>
      <c r="AH21" s="14">
        <f>AG21*96</f>
        <v>6720</v>
      </c>
      <c r="AI21" s="16">
        <v>11</v>
      </c>
      <c r="AJ21" s="16"/>
      <c r="AK21" s="15">
        <f t="shared" ref="AK21:AK47" si="9">SUM(AI21:AJ21)</f>
        <v>11</v>
      </c>
      <c r="AL21" s="14">
        <f>AK21*96</f>
        <v>1056</v>
      </c>
    </row>
    <row r="22" spans="2:43" x14ac:dyDescent="0.3">
      <c r="B22" s="42" t="s">
        <v>45</v>
      </c>
      <c r="C22" s="16">
        <v>10</v>
      </c>
      <c r="D22" s="16">
        <v>4</v>
      </c>
      <c r="E22" s="16"/>
      <c r="F22" s="16"/>
      <c r="G22" s="16"/>
      <c r="H22" s="16">
        <v>10</v>
      </c>
      <c r="I22" s="15">
        <f t="shared" si="6"/>
        <v>24</v>
      </c>
      <c r="J22" s="14">
        <f>I22*85</f>
        <v>2040</v>
      </c>
      <c r="K22" s="16"/>
      <c r="L22" s="16"/>
      <c r="M22" s="16"/>
      <c r="N22" s="16">
        <v>4</v>
      </c>
      <c r="O22" s="16"/>
      <c r="P22" s="16"/>
      <c r="Q22" s="15">
        <f t="shared" si="7"/>
        <v>4</v>
      </c>
      <c r="R22" s="14">
        <f>Q22*85</f>
        <v>340</v>
      </c>
      <c r="S22" s="16" t="s">
        <v>65</v>
      </c>
      <c r="T22" s="16"/>
      <c r="U22" s="16" t="s">
        <v>65</v>
      </c>
      <c r="V22" s="16">
        <v>19</v>
      </c>
      <c r="W22" s="16"/>
      <c r="X22" s="16">
        <v>4</v>
      </c>
      <c r="Y22" s="15">
        <f t="shared" si="8"/>
        <v>23</v>
      </c>
      <c r="Z22" s="14">
        <f>Y22*98</f>
        <v>2254</v>
      </c>
      <c r="AA22" s="16"/>
      <c r="AB22" s="16"/>
      <c r="AC22" s="16">
        <v>80</v>
      </c>
      <c r="AD22" s="16"/>
      <c r="AE22" s="16">
        <v>35</v>
      </c>
      <c r="AF22" s="16">
        <v>20</v>
      </c>
      <c r="AG22" s="15">
        <f t="shared" si="5"/>
        <v>135</v>
      </c>
      <c r="AH22" s="14">
        <f>AG22*98</f>
        <v>13230</v>
      </c>
      <c r="AI22" s="16">
        <v>2</v>
      </c>
      <c r="AJ22" s="16"/>
      <c r="AK22" s="15">
        <f t="shared" si="9"/>
        <v>2</v>
      </c>
      <c r="AL22" s="14">
        <f>AK22*98</f>
        <v>196</v>
      </c>
      <c r="AQ22">
        <f>JUNIO!AL19-SEPTIEMBRE!AO19</f>
        <v>-285</v>
      </c>
    </row>
    <row r="23" spans="2:43" x14ac:dyDescent="0.3">
      <c r="B23" s="42" t="s">
        <v>44</v>
      </c>
      <c r="C23" s="16"/>
      <c r="D23" s="16">
        <v>4</v>
      </c>
      <c r="E23" s="16"/>
      <c r="F23" s="16"/>
      <c r="G23" s="16"/>
      <c r="H23" s="16"/>
      <c r="I23" s="15">
        <f t="shared" si="6"/>
        <v>4</v>
      </c>
      <c r="J23" s="14">
        <f>I23*85</f>
        <v>340</v>
      </c>
      <c r="K23" s="16"/>
      <c r="L23" s="16"/>
      <c r="M23" s="16"/>
      <c r="N23" s="16"/>
      <c r="O23" s="16"/>
      <c r="P23" s="16"/>
      <c r="Q23" s="15">
        <f t="shared" si="7"/>
        <v>0</v>
      </c>
      <c r="R23" s="14">
        <f>Q23*85</f>
        <v>0</v>
      </c>
      <c r="S23" s="16">
        <v>2</v>
      </c>
      <c r="T23" s="16"/>
      <c r="U23" s="16">
        <v>15</v>
      </c>
      <c r="V23" s="16">
        <v>5</v>
      </c>
      <c r="W23" s="16"/>
      <c r="X23" s="16"/>
      <c r="Y23" s="15">
        <f t="shared" si="8"/>
        <v>22</v>
      </c>
      <c r="Z23" s="14">
        <f>Y23*82</f>
        <v>1804</v>
      </c>
      <c r="AA23" s="16"/>
      <c r="AB23" s="16"/>
      <c r="AC23" s="16"/>
      <c r="AD23" s="16"/>
      <c r="AE23" s="16">
        <v>42</v>
      </c>
      <c r="AF23" s="16">
        <v>15</v>
      </c>
      <c r="AG23" s="15">
        <f t="shared" si="5"/>
        <v>57</v>
      </c>
      <c r="AH23" s="14">
        <f>AG23*82</f>
        <v>4674</v>
      </c>
      <c r="AI23" s="16">
        <v>5</v>
      </c>
      <c r="AJ23" s="16"/>
      <c r="AK23" s="15">
        <f t="shared" si="9"/>
        <v>5</v>
      </c>
      <c r="AL23" s="14">
        <f>AK23*82</f>
        <v>410</v>
      </c>
    </row>
    <row r="24" spans="2:43" ht="15.6" x14ac:dyDescent="0.3">
      <c r="B24" s="42" t="s">
        <v>43</v>
      </c>
      <c r="C24" s="16"/>
      <c r="D24" s="16"/>
      <c r="E24" s="16"/>
      <c r="F24" s="16"/>
      <c r="G24" s="16"/>
      <c r="H24" s="16"/>
      <c r="I24" s="15">
        <f t="shared" si="6"/>
        <v>0</v>
      </c>
      <c r="J24" s="14">
        <f>I24*85</f>
        <v>0</v>
      </c>
      <c r="K24" s="16"/>
      <c r="L24" s="16"/>
      <c r="M24" s="16"/>
      <c r="N24" s="16"/>
      <c r="O24" s="16"/>
      <c r="P24" s="16"/>
      <c r="Q24" s="15">
        <f t="shared" si="7"/>
        <v>0</v>
      </c>
      <c r="R24" s="14">
        <f>Q24*85</f>
        <v>0</v>
      </c>
      <c r="S24" s="16" t="s">
        <v>65</v>
      </c>
      <c r="T24" s="16"/>
      <c r="U24" s="16"/>
      <c r="V24" s="16"/>
      <c r="W24" s="16"/>
      <c r="X24" s="16">
        <v>25</v>
      </c>
      <c r="Y24" s="15">
        <f t="shared" si="8"/>
        <v>25</v>
      </c>
      <c r="Z24" s="14">
        <f>Y24*100</f>
        <v>2500</v>
      </c>
      <c r="AA24" s="16"/>
      <c r="AB24" s="16"/>
      <c r="AC24" s="16">
        <v>80</v>
      </c>
      <c r="AD24" s="16"/>
      <c r="AE24" s="16">
        <v>10</v>
      </c>
      <c r="AF24" s="16" t="s">
        <v>65</v>
      </c>
      <c r="AG24" s="15">
        <f t="shared" si="5"/>
        <v>90</v>
      </c>
      <c r="AH24" s="14">
        <f>AG24*100</f>
        <v>9000</v>
      </c>
      <c r="AI24" s="16"/>
      <c r="AJ24" s="16"/>
      <c r="AK24" s="15">
        <f t="shared" si="9"/>
        <v>0</v>
      </c>
      <c r="AL24" s="14">
        <f>AK24*100</f>
        <v>0</v>
      </c>
      <c r="AN24" s="70" t="s">
        <v>42</v>
      </c>
      <c r="AO24" s="70"/>
    </row>
    <row r="25" spans="2:43" ht="15.6" x14ac:dyDescent="0.3">
      <c r="B25" s="42" t="s">
        <v>41</v>
      </c>
      <c r="C25" s="16"/>
      <c r="D25" s="16"/>
      <c r="E25" s="16"/>
      <c r="F25" s="16"/>
      <c r="G25" s="16"/>
      <c r="H25" s="16"/>
      <c r="I25" s="15">
        <f t="shared" si="6"/>
        <v>0</v>
      </c>
      <c r="J25" s="14">
        <f>I25*84</f>
        <v>0</v>
      </c>
      <c r="K25" s="16"/>
      <c r="L25" s="16"/>
      <c r="M25" s="16"/>
      <c r="N25" s="16"/>
      <c r="O25" s="16"/>
      <c r="P25" s="16"/>
      <c r="Q25" s="15">
        <f t="shared" si="7"/>
        <v>0</v>
      </c>
      <c r="R25" s="14">
        <f>Q25*84</f>
        <v>0</v>
      </c>
      <c r="S25" s="16" t="s">
        <v>65</v>
      </c>
      <c r="T25" s="16"/>
      <c r="U25" s="16"/>
      <c r="V25" s="16"/>
      <c r="W25" s="16"/>
      <c r="X25" s="16">
        <v>25</v>
      </c>
      <c r="Y25" s="15">
        <f t="shared" si="8"/>
        <v>25</v>
      </c>
      <c r="Z25" s="14">
        <f>Y25*115</f>
        <v>2875</v>
      </c>
      <c r="AA25" s="16"/>
      <c r="AB25" s="16"/>
      <c r="AC25" s="16">
        <v>140</v>
      </c>
      <c r="AD25" s="16"/>
      <c r="AE25" s="16">
        <v>10</v>
      </c>
      <c r="AF25" s="16">
        <v>30</v>
      </c>
      <c r="AG25" s="15">
        <f t="shared" si="5"/>
        <v>180</v>
      </c>
      <c r="AH25" s="14">
        <f>AG25*115</f>
        <v>20700</v>
      </c>
      <c r="AI25" s="16"/>
      <c r="AJ25" s="16"/>
      <c r="AK25" s="15">
        <f t="shared" si="9"/>
        <v>0</v>
      </c>
      <c r="AL25" s="14">
        <f>AK25*115</f>
        <v>0</v>
      </c>
      <c r="AN25" s="45" t="s">
        <v>40</v>
      </c>
      <c r="AO25" s="44">
        <f>I13+Q13+Y13+AG13+AK13</f>
        <v>825</v>
      </c>
    </row>
    <row r="26" spans="2:43" ht="15.6" x14ac:dyDescent="0.3">
      <c r="B26" s="42" t="s">
        <v>39</v>
      </c>
      <c r="C26" s="16"/>
      <c r="D26" s="16"/>
      <c r="E26" s="16"/>
      <c r="F26" s="16"/>
      <c r="G26" s="16"/>
      <c r="H26" s="16"/>
      <c r="I26" s="15">
        <f t="shared" si="6"/>
        <v>0</v>
      </c>
      <c r="J26" s="14">
        <f>I26*85</f>
        <v>0</v>
      </c>
      <c r="K26" s="16"/>
      <c r="L26" s="16"/>
      <c r="M26" s="16"/>
      <c r="N26" s="16"/>
      <c r="O26" s="16"/>
      <c r="P26" s="16"/>
      <c r="Q26" s="15">
        <f t="shared" si="7"/>
        <v>0</v>
      </c>
      <c r="R26" s="14">
        <f>Q26*85</f>
        <v>0</v>
      </c>
      <c r="S26" s="16" t="s">
        <v>65</v>
      </c>
      <c r="T26" s="16"/>
      <c r="U26" s="16"/>
      <c r="V26" s="16"/>
      <c r="W26" s="16"/>
      <c r="X26" s="16">
        <v>42</v>
      </c>
      <c r="Y26" s="15">
        <f t="shared" si="8"/>
        <v>42</v>
      </c>
      <c r="Z26" s="14">
        <f>Y26*85</f>
        <v>3570</v>
      </c>
      <c r="AA26" s="16"/>
      <c r="AB26" s="16"/>
      <c r="AC26" s="16"/>
      <c r="AD26" s="16"/>
      <c r="AE26" s="16">
        <v>15</v>
      </c>
      <c r="AF26" s="16"/>
      <c r="AG26" s="15">
        <f t="shared" si="5"/>
        <v>15</v>
      </c>
      <c r="AH26" s="14">
        <f>AG26*85</f>
        <v>1275</v>
      </c>
      <c r="AI26" s="16" t="s">
        <v>65</v>
      </c>
      <c r="AJ26" s="16"/>
      <c r="AK26" s="15">
        <f t="shared" si="9"/>
        <v>0</v>
      </c>
      <c r="AL26" s="14">
        <f>AK26*85</f>
        <v>0</v>
      </c>
      <c r="AN26" s="45" t="s">
        <v>38</v>
      </c>
      <c r="AO26" s="44">
        <f>I14+Q14+Y14+AG14+AK14</f>
        <v>536</v>
      </c>
    </row>
    <row r="27" spans="2:43" ht="15.6" x14ac:dyDescent="0.3">
      <c r="B27" s="42" t="s">
        <v>37</v>
      </c>
      <c r="C27" s="16"/>
      <c r="D27" s="16"/>
      <c r="E27" s="16"/>
      <c r="F27" s="16"/>
      <c r="G27" s="16"/>
      <c r="H27" s="16"/>
      <c r="I27" s="15">
        <f t="shared" si="6"/>
        <v>0</v>
      </c>
      <c r="J27" s="14">
        <f>I27*85</f>
        <v>0</v>
      </c>
      <c r="K27" s="16"/>
      <c r="L27" s="16"/>
      <c r="M27" s="16"/>
      <c r="N27" s="16"/>
      <c r="O27" s="16"/>
      <c r="P27" s="16"/>
      <c r="Q27" s="15">
        <f t="shared" si="7"/>
        <v>0</v>
      </c>
      <c r="R27" s="14">
        <f>Q27*85</f>
        <v>0</v>
      </c>
      <c r="S27" s="16" t="s">
        <v>65</v>
      </c>
      <c r="T27" s="16"/>
      <c r="U27" s="16"/>
      <c r="V27" s="16"/>
      <c r="W27" s="16"/>
      <c r="X27" s="16"/>
      <c r="Y27" s="15">
        <f t="shared" si="8"/>
        <v>0</v>
      </c>
      <c r="Z27" s="14">
        <f>Y27*85</f>
        <v>0</v>
      </c>
      <c r="AA27" s="16"/>
      <c r="AB27" s="16"/>
      <c r="AC27" s="16"/>
      <c r="AD27" s="16"/>
      <c r="AE27" s="16"/>
      <c r="AF27" s="16"/>
      <c r="AG27" s="15">
        <f t="shared" si="5"/>
        <v>0</v>
      </c>
      <c r="AH27" s="14">
        <f>AG27*85</f>
        <v>0</v>
      </c>
      <c r="AI27" s="16"/>
      <c r="AJ27" s="16"/>
      <c r="AK27" s="15">
        <f t="shared" si="9"/>
        <v>0</v>
      </c>
      <c r="AL27" s="14">
        <f>AK27*85</f>
        <v>0</v>
      </c>
      <c r="AN27" s="45" t="s">
        <v>36</v>
      </c>
      <c r="AO27" s="44">
        <f>I15+Q15+Y15+AG15+AK15</f>
        <v>87</v>
      </c>
    </row>
    <row r="28" spans="2:43" x14ac:dyDescent="0.3">
      <c r="B28" s="42" t="s">
        <v>35</v>
      </c>
      <c r="C28" s="16"/>
      <c r="D28" s="16"/>
      <c r="E28" s="16"/>
      <c r="F28" s="16"/>
      <c r="G28" s="16"/>
      <c r="H28" s="16"/>
      <c r="I28" s="15">
        <f t="shared" si="6"/>
        <v>0</v>
      </c>
      <c r="J28" s="14">
        <f>I28*75</f>
        <v>0</v>
      </c>
      <c r="K28" s="16">
        <v>15</v>
      </c>
      <c r="L28" s="16"/>
      <c r="M28" s="16"/>
      <c r="N28" s="16"/>
      <c r="O28" s="16"/>
      <c r="P28" s="16"/>
      <c r="Q28" s="15">
        <f t="shared" si="7"/>
        <v>15</v>
      </c>
      <c r="R28" s="14">
        <f>Q28*75</f>
        <v>1125</v>
      </c>
      <c r="S28" s="16"/>
      <c r="T28" s="16"/>
      <c r="U28" s="16">
        <v>10</v>
      </c>
      <c r="V28" s="16"/>
      <c r="W28" s="16">
        <v>1</v>
      </c>
      <c r="X28" s="16">
        <v>2</v>
      </c>
      <c r="Y28" s="15">
        <f t="shared" si="8"/>
        <v>13</v>
      </c>
      <c r="Z28" s="14">
        <f>Y28*75</f>
        <v>975</v>
      </c>
      <c r="AA28" s="16">
        <v>11</v>
      </c>
      <c r="AB28" s="16"/>
      <c r="AC28" s="16">
        <v>20</v>
      </c>
      <c r="AD28" s="16"/>
      <c r="AE28" s="16"/>
      <c r="AF28" s="16">
        <v>19</v>
      </c>
      <c r="AG28" s="15">
        <f t="shared" si="5"/>
        <v>50</v>
      </c>
      <c r="AH28" s="14">
        <f>AG28*75</f>
        <v>3750</v>
      </c>
      <c r="AI28" s="16"/>
      <c r="AJ28" s="16"/>
      <c r="AK28" s="15">
        <f t="shared" si="9"/>
        <v>0</v>
      </c>
      <c r="AL28" s="14">
        <f>AK28*75</f>
        <v>0</v>
      </c>
      <c r="AM28" t="s">
        <v>67</v>
      </c>
      <c r="AO28" s="43">
        <f>SUM(AO25:AO27)</f>
        <v>1448</v>
      </c>
    </row>
    <row r="29" spans="2:43" x14ac:dyDescent="0.3">
      <c r="B29" s="42" t="s">
        <v>34</v>
      </c>
      <c r="C29" s="16"/>
      <c r="D29" s="16"/>
      <c r="E29" s="16"/>
      <c r="F29" s="16"/>
      <c r="G29" s="16"/>
      <c r="H29" s="16"/>
      <c r="I29" s="15">
        <f t="shared" si="6"/>
        <v>0</v>
      </c>
      <c r="J29" s="14">
        <f>I29*75</f>
        <v>0</v>
      </c>
      <c r="K29" s="16"/>
      <c r="L29" s="16"/>
      <c r="M29" s="16"/>
      <c r="N29" s="16"/>
      <c r="O29" s="16"/>
      <c r="P29" s="16"/>
      <c r="Q29" s="15">
        <f t="shared" si="7"/>
        <v>0</v>
      </c>
      <c r="R29" s="14">
        <f>Q29*75</f>
        <v>0</v>
      </c>
      <c r="S29" s="16"/>
      <c r="T29" s="16"/>
      <c r="U29" s="16">
        <v>10</v>
      </c>
      <c r="V29" s="16"/>
      <c r="W29" s="16"/>
      <c r="X29" s="16">
        <v>25</v>
      </c>
      <c r="Y29" s="15">
        <f t="shared" si="8"/>
        <v>35</v>
      </c>
      <c r="Z29" s="14">
        <f>Y29*75</f>
        <v>2625</v>
      </c>
      <c r="AA29" s="16">
        <v>11</v>
      </c>
      <c r="AB29" s="16"/>
      <c r="AC29" s="16">
        <v>20</v>
      </c>
      <c r="AD29" s="16"/>
      <c r="AE29" s="16"/>
      <c r="AF29" s="16"/>
      <c r="AG29" s="15">
        <f t="shared" si="5"/>
        <v>31</v>
      </c>
      <c r="AH29" s="14">
        <f>AG29*75</f>
        <v>2325</v>
      </c>
      <c r="AI29" s="16"/>
      <c r="AJ29" s="16"/>
      <c r="AK29" s="15">
        <f t="shared" si="9"/>
        <v>0</v>
      </c>
      <c r="AL29" s="14">
        <f>AK29*75</f>
        <v>0</v>
      </c>
    </row>
    <row r="30" spans="2:43" x14ac:dyDescent="0.3">
      <c r="B30" s="42" t="s">
        <v>33</v>
      </c>
      <c r="C30" s="16"/>
      <c r="D30" s="16">
        <v>5</v>
      </c>
      <c r="E30" s="16"/>
      <c r="F30" s="16">
        <v>10</v>
      </c>
      <c r="G30" s="16">
        <v>20</v>
      </c>
      <c r="H30" s="16"/>
      <c r="I30" s="15">
        <f t="shared" si="6"/>
        <v>35</v>
      </c>
      <c r="J30" s="14">
        <f>I30*78</f>
        <v>2730</v>
      </c>
      <c r="K30" s="16"/>
      <c r="L30" s="16"/>
      <c r="M30" s="16">
        <v>20</v>
      </c>
      <c r="N30" s="16">
        <v>19</v>
      </c>
      <c r="O30" s="16">
        <v>3</v>
      </c>
      <c r="P30" s="16"/>
      <c r="Q30" s="15">
        <f t="shared" si="7"/>
        <v>42</v>
      </c>
      <c r="R30" s="14">
        <f>Q30*78</f>
        <v>3276</v>
      </c>
      <c r="S30" s="16"/>
      <c r="T30" s="16"/>
      <c r="U30" s="16">
        <v>11</v>
      </c>
      <c r="V30" s="16">
        <v>10</v>
      </c>
      <c r="W30" s="16"/>
      <c r="X30" s="16">
        <v>3</v>
      </c>
      <c r="Y30" s="15">
        <f t="shared" si="8"/>
        <v>24</v>
      </c>
      <c r="Z30" s="14">
        <f>Y30*78</f>
        <v>1872</v>
      </c>
      <c r="AA30" s="16">
        <v>15</v>
      </c>
      <c r="AB30" s="16"/>
      <c r="AC30" s="16">
        <v>110</v>
      </c>
      <c r="AD30" s="16">
        <v>10</v>
      </c>
      <c r="AE30" s="16">
        <v>74</v>
      </c>
      <c r="AF30" s="16">
        <v>16</v>
      </c>
      <c r="AG30" s="15">
        <f t="shared" si="5"/>
        <v>225</v>
      </c>
      <c r="AH30" s="14">
        <f>AG30*78</f>
        <v>17550</v>
      </c>
      <c r="AI30" s="16">
        <v>9</v>
      </c>
      <c r="AJ30" s="16"/>
      <c r="AK30" s="15">
        <f t="shared" si="9"/>
        <v>9</v>
      </c>
      <c r="AL30" s="14">
        <f>AK30*78</f>
        <v>702</v>
      </c>
    </row>
    <row r="31" spans="2:43" x14ac:dyDescent="0.3">
      <c r="B31" s="42" t="s">
        <v>32</v>
      </c>
      <c r="C31" s="16"/>
      <c r="D31" s="16"/>
      <c r="E31" s="16"/>
      <c r="F31" s="16"/>
      <c r="G31" s="16"/>
      <c r="H31" s="16"/>
      <c r="I31" s="15">
        <f t="shared" si="6"/>
        <v>0</v>
      </c>
      <c r="J31" s="14">
        <f>I31*70</f>
        <v>0</v>
      </c>
      <c r="K31" s="16"/>
      <c r="L31" s="16"/>
      <c r="M31" s="16"/>
      <c r="N31" s="16"/>
      <c r="O31" s="16"/>
      <c r="P31" s="16"/>
      <c r="Q31" s="15">
        <f t="shared" si="7"/>
        <v>0</v>
      </c>
      <c r="R31" s="14">
        <f>Q31*70</f>
        <v>0</v>
      </c>
      <c r="S31" s="16"/>
      <c r="T31" s="16"/>
      <c r="U31" s="16"/>
      <c r="V31" s="16"/>
      <c r="W31" s="16"/>
      <c r="X31" s="16"/>
      <c r="Y31" s="15">
        <f t="shared" si="8"/>
        <v>0</v>
      </c>
      <c r="Z31" s="14">
        <f>Y31*70</f>
        <v>0</v>
      </c>
      <c r="AA31" s="16"/>
      <c r="AB31" s="16"/>
      <c r="AC31" s="16"/>
      <c r="AD31" s="16"/>
      <c r="AE31" s="16"/>
      <c r="AF31" s="16"/>
      <c r="AG31" s="15">
        <f t="shared" si="5"/>
        <v>0</v>
      </c>
      <c r="AH31" s="14">
        <f>AG31*70</f>
        <v>0</v>
      </c>
      <c r="AI31" s="16"/>
      <c r="AJ31" s="16"/>
      <c r="AK31" s="15">
        <f t="shared" si="9"/>
        <v>0</v>
      </c>
      <c r="AL31" s="14">
        <f>AK31*70</f>
        <v>0</v>
      </c>
    </row>
    <row r="32" spans="2:43" x14ac:dyDescent="0.3">
      <c r="B32" s="42" t="s">
        <v>31</v>
      </c>
      <c r="C32" s="16"/>
      <c r="D32" s="16"/>
      <c r="E32" s="16">
        <v>80</v>
      </c>
      <c r="F32" s="16"/>
      <c r="G32" s="16"/>
      <c r="H32" s="16"/>
      <c r="I32" s="15">
        <f t="shared" si="6"/>
        <v>80</v>
      </c>
      <c r="J32" s="14">
        <f>I32*60</f>
        <v>4800</v>
      </c>
      <c r="K32" s="16"/>
      <c r="L32" s="16"/>
      <c r="M32" s="16"/>
      <c r="N32" s="16"/>
      <c r="O32" s="16"/>
      <c r="P32" s="16"/>
      <c r="Q32" s="15">
        <f t="shared" si="7"/>
        <v>0</v>
      </c>
      <c r="R32" s="14">
        <f>Q32*60</f>
        <v>0</v>
      </c>
      <c r="S32" s="16"/>
      <c r="T32" s="16"/>
      <c r="U32" s="16"/>
      <c r="V32" s="16"/>
      <c r="W32" s="16"/>
      <c r="X32" s="16"/>
      <c r="Y32" s="15">
        <f t="shared" si="8"/>
        <v>0</v>
      </c>
      <c r="Z32" s="14">
        <f>Y32*60</f>
        <v>0</v>
      </c>
      <c r="AA32" s="16"/>
      <c r="AB32" s="16"/>
      <c r="AC32" s="16"/>
      <c r="AD32" s="16"/>
      <c r="AE32" s="16"/>
      <c r="AF32" s="16"/>
      <c r="AG32" s="15">
        <f t="shared" si="5"/>
        <v>0</v>
      </c>
      <c r="AH32" s="14">
        <f>AG32*60</f>
        <v>0</v>
      </c>
      <c r="AI32" s="16"/>
      <c r="AJ32" s="16"/>
      <c r="AK32" s="15">
        <f t="shared" si="9"/>
        <v>0</v>
      </c>
      <c r="AL32" s="14">
        <f>AK32*60</f>
        <v>0</v>
      </c>
    </row>
    <row r="33" spans="2:42" x14ac:dyDescent="0.3">
      <c r="B33" s="42" t="s">
        <v>30</v>
      </c>
      <c r="C33" s="16"/>
      <c r="D33" s="16"/>
      <c r="E33" s="16">
        <v>39</v>
      </c>
      <c r="F33" s="16"/>
      <c r="G33" s="16"/>
      <c r="H33" s="16"/>
      <c r="I33" s="15">
        <f t="shared" si="6"/>
        <v>39</v>
      </c>
      <c r="J33" s="14">
        <f>I33*60</f>
        <v>2340</v>
      </c>
      <c r="K33" s="16"/>
      <c r="L33" s="16"/>
      <c r="M33" s="16"/>
      <c r="N33" s="16"/>
      <c r="O33" s="16"/>
      <c r="P33" s="16"/>
      <c r="Q33" s="15">
        <f t="shared" si="7"/>
        <v>0</v>
      </c>
      <c r="R33" s="14">
        <f>Q33*60</f>
        <v>0</v>
      </c>
      <c r="S33" s="16"/>
      <c r="T33" s="16"/>
      <c r="U33" s="16"/>
      <c r="V33" s="16"/>
      <c r="W33" s="16"/>
      <c r="X33" s="16"/>
      <c r="Y33" s="15">
        <f t="shared" si="8"/>
        <v>0</v>
      </c>
      <c r="Z33" s="14">
        <f>Y33*60</f>
        <v>0</v>
      </c>
      <c r="AA33" s="16"/>
      <c r="AB33" s="16"/>
      <c r="AC33" s="16"/>
      <c r="AD33" s="16"/>
      <c r="AE33" s="16"/>
      <c r="AF33" s="16"/>
      <c r="AG33" s="15">
        <f t="shared" si="5"/>
        <v>0</v>
      </c>
      <c r="AH33" s="14">
        <f>AG33*60</f>
        <v>0</v>
      </c>
      <c r="AI33" s="16"/>
      <c r="AJ33" s="16"/>
      <c r="AK33" s="15">
        <f t="shared" si="9"/>
        <v>0</v>
      </c>
      <c r="AL33" s="14">
        <f>AK33*60</f>
        <v>0</v>
      </c>
    </row>
    <row r="34" spans="2:42" x14ac:dyDescent="0.3">
      <c r="B34" s="42" t="s">
        <v>29</v>
      </c>
      <c r="C34" s="16"/>
      <c r="D34" s="16"/>
      <c r="E34" s="16">
        <v>188</v>
      </c>
      <c r="F34" s="16"/>
      <c r="G34" s="16"/>
      <c r="H34" s="16"/>
      <c r="I34" s="15">
        <f t="shared" si="6"/>
        <v>188</v>
      </c>
      <c r="J34" s="14">
        <f>I34*40</f>
        <v>7520</v>
      </c>
      <c r="K34" s="16"/>
      <c r="L34" s="16"/>
      <c r="M34" s="16">
        <v>116</v>
      </c>
      <c r="N34" s="16"/>
      <c r="O34" s="16"/>
      <c r="P34" s="16"/>
      <c r="Q34" s="15">
        <f t="shared" si="7"/>
        <v>116</v>
      </c>
      <c r="R34" s="14">
        <f>Q34*40</f>
        <v>4640</v>
      </c>
      <c r="S34" s="16"/>
      <c r="T34" s="16"/>
      <c r="U34" s="16"/>
      <c r="V34" s="16">
        <v>50</v>
      </c>
      <c r="W34" s="16"/>
      <c r="X34" s="16"/>
      <c r="Y34" s="15">
        <f t="shared" si="8"/>
        <v>50</v>
      </c>
      <c r="Z34" s="14">
        <f>Y34*40</f>
        <v>2000</v>
      </c>
      <c r="AA34" s="16"/>
      <c r="AB34" s="16"/>
      <c r="AC34" s="16"/>
      <c r="AD34" s="16"/>
      <c r="AE34" s="16"/>
      <c r="AF34" s="16"/>
      <c r="AG34" s="15">
        <f t="shared" si="5"/>
        <v>0</v>
      </c>
      <c r="AH34" s="14">
        <f>AG34*40</f>
        <v>0</v>
      </c>
      <c r="AI34" s="16"/>
      <c r="AJ34" s="16">
        <v>15</v>
      </c>
      <c r="AK34" s="15">
        <f t="shared" si="9"/>
        <v>15</v>
      </c>
      <c r="AL34" s="14">
        <f>AK34*40</f>
        <v>600</v>
      </c>
    </row>
    <row r="35" spans="2:42" x14ac:dyDescent="0.3">
      <c r="B35" s="42" t="s">
        <v>28</v>
      </c>
      <c r="C35" s="16">
        <v>25</v>
      </c>
      <c r="D35" s="16"/>
      <c r="E35" s="16">
        <v>133</v>
      </c>
      <c r="F35" s="16"/>
      <c r="G35" s="16">
        <v>10</v>
      </c>
      <c r="H35" s="16"/>
      <c r="I35" s="15">
        <f t="shared" si="6"/>
        <v>168</v>
      </c>
      <c r="J35" s="14">
        <f>I35*40</f>
        <v>6720</v>
      </c>
      <c r="K35" s="16"/>
      <c r="L35" s="16"/>
      <c r="M35" s="16">
        <v>117</v>
      </c>
      <c r="N35" s="16">
        <v>84</v>
      </c>
      <c r="O35" s="16"/>
      <c r="P35" s="16"/>
      <c r="Q35" s="15">
        <f t="shared" si="7"/>
        <v>201</v>
      </c>
      <c r="R35" s="14">
        <f>Q35*40</f>
        <v>8040</v>
      </c>
      <c r="S35" s="16"/>
      <c r="T35" s="16"/>
      <c r="U35" s="16"/>
      <c r="V35" s="16">
        <v>100</v>
      </c>
      <c r="W35" s="16">
        <v>40</v>
      </c>
      <c r="X35" s="16"/>
      <c r="Y35" s="15">
        <f t="shared" si="8"/>
        <v>140</v>
      </c>
      <c r="Z35" s="14">
        <f>Y35*40</f>
        <v>5600</v>
      </c>
      <c r="AA35" s="16">
        <v>10</v>
      </c>
      <c r="AB35" s="16">
        <v>20</v>
      </c>
      <c r="AC35" s="16">
        <v>10</v>
      </c>
      <c r="AD35" s="16">
        <v>3</v>
      </c>
      <c r="AE35" s="16">
        <v>40</v>
      </c>
      <c r="AF35" s="16"/>
      <c r="AG35" s="15">
        <f t="shared" si="5"/>
        <v>83</v>
      </c>
      <c r="AH35" s="14">
        <f>AG35*40</f>
        <v>3320</v>
      </c>
      <c r="AI35" s="16">
        <v>1</v>
      </c>
      <c r="AJ35" s="16">
        <v>5</v>
      </c>
      <c r="AK35" s="15">
        <f t="shared" si="9"/>
        <v>6</v>
      </c>
      <c r="AL35" s="14">
        <f>AK35*40</f>
        <v>240</v>
      </c>
    </row>
    <row r="36" spans="2:42" x14ac:dyDescent="0.3">
      <c r="B36" s="42" t="s">
        <v>27</v>
      </c>
      <c r="C36" s="16"/>
      <c r="D36" s="16"/>
      <c r="E36" s="16"/>
      <c r="F36" s="16"/>
      <c r="G36" s="16"/>
      <c r="H36" s="16"/>
      <c r="I36" s="15">
        <f t="shared" si="6"/>
        <v>0</v>
      </c>
      <c r="J36" s="14">
        <f>I36*76</f>
        <v>0</v>
      </c>
      <c r="K36" s="16"/>
      <c r="L36" s="16"/>
      <c r="M36" s="16"/>
      <c r="N36" s="16"/>
      <c r="O36" s="16"/>
      <c r="P36" s="16"/>
      <c r="Q36" s="15">
        <f t="shared" si="7"/>
        <v>0</v>
      </c>
      <c r="R36" s="14">
        <f>Q36*76</f>
        <v>0</v>
      </c>
      <c r="S36" s="16"/>
      <c r="T36" s="16"/>
      <c r="U36" s="16"/>
      <c r="V36" s="16">
        <v>30</v>
      </c>
      <c r="W36" s="16"/>
      <c r="X36" s="16"/>
      <c r="Y36" s="15">
        <f t="shared" si="8"/>
        <v>30</v>
      </c>
      <c r="Z36" s="14">
        <f>Y36*76</f>
        <v>2280</v>
      </c>
      <c r="AA36" s="16"/>
      <c r="AB36" s="16"/>
      <c r="AC36" s="16"/>
      <c r="AD36" s="16"/>
      <c r="AE36" s="16"/>
      <c r="AF36" s="16"/>
      <c r="AG36" s="15">
        <f t="shared" si="5"/>
        <v>0</v>
      </c>
      <c r="AH36" s="14">
        <f>AG36*76</f>
        <v>0</v>
      </c>
      <c r="AI36" s="16"/>
      <c r="AJ36" s="16"/>
      <c r="AK36" s="15">
        <f t="shared" si="9"/>
        <v>0</v>
      </c>
      <c r="AL36" s="14">
        <f>AK36*76</f>
        <v>0</v>
      </c>
    </row>
    <row r="37" spans="2:42" x14ac:dyDescent="0.3">
      <c r="B37" s="42" t="s">
        <v>26</v>
      </c>
      <c r="C37" s="16"/>
      <c r="D37" s="16"/>
      <c r="E37" s="16"/>
      <c r="F37" s="16"/>
      <c r="G37" s="16"/>
      <c r="H37" s="16"/>
      <c r="I37" s="15">
        <f t="shared" si="6"/>
        <v>0</v>
      </c>
      <c r="J37" s="14">
        <f>I37*90</f>
        <v>0</v>
      </c>
      <c r="K37" s="16"/>
      <c r="L37" s="16"/>
      <c r="M37" s="16"/>
      <c r="N37" s="16"/>
      <c r="O37" s="16"/>
      <c r="P37" s="16"/>
      <c r="Q37" s="15">
        <f t="shared" si="7"/>
        <v>0</v>
      </c>
      <c r="R37" s="14">
        <f>Q37*90</f>
        <v>0</v>
      </c>
      <c r="S37" s="16"/>
      <c r="T37" s="16"/>
      <c r="U37" s="16"/>
      <c r="V37" s="16"/>
      <c r="W37" s="16"/>
      <c r="X37" s="16"/>
      <c r="Y37" s="15">
        <f t="shared" si="8"/>
        <v>0</v>
      </c>
      <c r="Z37" s="14">
        <f>Y37*90</f>
        <v>0</v>
      </c>
      <c r="AA37" s="16"/>
      <c r="AB37" s="16"/>
      <c r="AC37" s="16"/>
      <c r="AD37" s="16"/>
      <c r="AE37" s="16"/>
      <c r="AF37" s="16"/>
      <c r="AG37" s="15">
        <f t="shared" si="5"/>
        <v>0</v>
      </c>
      <c r="AH37" s="14">
        <f>AG37*90</f>
        <v>0</v>
      </c>
      <c r="AI37" s="16"/>
      <c r="AJ37" s="16"/>
      <c r="AK37" s="15">
        <f t="shared" si="9"/>
        <v>0</v>
      </c>
      <c r="AL37" s="14">
        <f>AK37*90</f>
        <v>0</v>
      </c>
    </row>
    <row r="38" spans="2:42" x14ac:dyDescent="0.3">
      <c r="B38" s="42" t="s">
        <v>25</v>
      </c>
      <c r="C38" s="16"/>
      <c r="D38" s="16"/>
      <c r="E38" s="16"/>
      <c r="F38" s="16"/>
      <c r="G38" s="16"/>
      <c r="H38" s="16"/>
      <c r="I38" s="15">
        <f t="shared" si="6"/>
        <v>0</v>
      </c>
      <c r="J38" s="14">
        <f>I38*91</f>
        <v>0</v>
      </c>
      <c r="K38" s="16"/>
      <c r="L38" s="16"/>
      <c r="M38" s="16"/>
      <c r="N38" s="16"/>
      <c r="O38" s="16"/>
      <c r="P38" s="16"/>
      <c r="Q38" s="15">
        <f t="shared" si="7"/>
        <v>0</v>
      </c>
      <c r="R38" s="14">
        <f>Q38*91</f>
        <v>0</v>
      </c>
      <c r="S38" s="16"/>
      <c r="T38" s="16"/>
      <c r="U38" s="16"/>
      <c r="V38" s="16"/>
      <c r="W38" s="16"/>
      <c r="X38" s="16"/>
      <c r="Y38" s="15">
        <f t="shared" si="8"/>
        <v>0</v>
      </c>
      <c r="Z38" s="14">
        <f>Y38*91</f>
        <v>0</v>
      </c>
      <c r="AA38" s="16" t="s">
        <v>65</v>
      </c>
      <c r="AB38" s="16"/>
      <c r="AC38" s="16"/>
      <c r="AD38" s="16"/>
      <c r="AE38" s="16"/>
      <c r="AF38" s="16"/>
      <c r="AG38" s="15">
        <f t="shared" si="5"/>
        <v>0</v>
      </c>
      <c r="AH38" s="14">
        <f>AG38*91</f>
        <v>0</v>
      </c>
      <c r="AI38" s="16"/>
      <c r="AJ38" s="16"/>
      <c r="AK38" s="15">
        <f t="shared" si="9"/>
        <v>0</v>
      </c>
      <c r="AL38" s="14">
        <f>AK38*91</f>
        <v>0</v>
      </c>
    </row>
    <row r="39" spans="2:42" x14ac:dyDescent="0.3">
      <c r="B39" s="42" t="s">
        <v>24</v>
      </c>
      <c r="C39" s="16"/>
      <c r="D39" s="16"/>
      <c r="E39" s="16"/>
      <c r="F39" s="16"/>
      <c r="G39" s="16"/>
      <c r="H39" s="16"/>
      <c r="I39" s="15">
        <f t="shared" si="6"/>
        <v>0</v>
      </c>
      <c r="J39" s="14">
        <f>I39*90</f>
        <v>0</v>
      </c>
      <c r="K39" s="16"/>
      <c r="L39" s="16"/>
      <c r="M39" s="16"/>
      <c r="N39" s="16"/>
      <c r="O39" s="16"/>
      <c r="P39" s="16"/>
      <c r="Q39" s="15">
        <f t="shared" si="7"/>
        <v>0</v>
      </c>
      <c r="R39" s="14">
        <f>Q39*90</f>
        <v>0</v>
      </c>
      <c r="S39" s="16"/>
      <c r="T39" s="16"/>
      <c r="U39" s="16"/>
      <c r="V39" s="16"/>
      <c r="W39" s="16"/>
      <c r="X39" s="16"/>
      <c r="Y39" s="15">
        <f t="shared" si="8"/>
        <v>0</v>
      </c>
      <c r="Z39" s="14">
        <f>Y39*90</f>
        <v>0</v>
      </c>
      <c r="AA39" s="16" t="s">
        <v>65</v>
      </c>
      <c r="AB39" s="16"/>
      <c r="AC39" s="16"/>
      <c r="AD39" s="16"/>
      <c r="AE39" s="16"/>
      <c r="AF39" s="16"/>
      <c r="AG39" s="15">
        <f t="shared" si="5"/>
        <v>0</v>
      </c>
      <c r="AH39" s="14">
        <f>AG39*90</f>
        <v>0</v>
      </c>
      <c r="AI39" s="16"/>
      <c r="AJ39" s="16"/>
      <c r="AK39" s="15">
        <f t="shared" si="9"/>
        <v>0</v>
      </c>
      <c r="AL39" s="14">
        <f>AK39*90</f>
        <v>0</v>
      </c>
    </row>
    <row r="40" spans="2:42" x14ac:dyDescent="0.3">
      <c r="B40" s="42" t="s">
        <v>23</v>
      </c>
      <c r="C40" s="16"/>
      <c r="D40" s="16"/>
      <c r="E40" s="16"/>
      <c r="F40" s="16"/>
      <c r="G40" s="16" t="s">
        <v>65</v>
      </c>
      <c r="H40" s="16"/>
      <c r="I40" s="15">
        <f t="shared" si="6"/>
        <v>0</v>
      </c>
      <c r="J40" s="14">
        <f>I40*76</f>
        <v>0</v>
      </c>
      <c r="K40" s="16"/>
      <c r="L40" s="16"/>
      <c r="M40" s="16"/>
      <c r="N40" s="16"/>
      <c r="O40" s="16"/>
      <c r="P40" s="16"/>
      <c r="Q40" s="15">
        <f t="shared" si="7"/>
        <v>0</v>
      </c>
      <c r="R40" s="14">
        <f>Q40*76</f>
        <v>0</v>
      </c>
      <c r="S40" s="16" t="s">
        <v>65</v>
      </c>
      <c r="T40" s="16" t="s">
        <v>65</v>
      </c>
      <c r="U40" s="16" t="s">
        <v>65</v>
      </c>
      <c r="V40" s="16">
        <v>16</v>
      </c>
      <c r="W40" s="16"/>
      <c r="X40" s="16"/>
      <c r="Y40" s="15">
        <f t="shared" si="8"/>
        <v>16</v>
      </c>
      <c r="Z40" s="14">
        <f>Y40*76</f>
        <v>1216</v>
      </c>
      <c r="AA40" s="16" t="s">
        <v>65</v>
      </c>
      <c r="AB40" s="16" t="s">
        <v>65</v>
      </c>
      <c r="AC40" s="16"/>
      <c r="AD40" s="16"/>
      <c r="AE40" s="16"/>
      <c r="AF40" s="16"/>
      <c r="AG40" s="15">
        <f t="shared" si="5"/>
        <v>0</v>
      </c>
      <c r="AH40" s="14">
        <f>AG40*76</f>
        <v>0</v>
      </c>
      <c r="AI40" s="16"/>
      <c r="AJ40" s="16"/>
      <c r="AK40" s="15">
        <f t="shared" si="9"/>
        <v>0</v>
      </c>
      <c r="AL40" s="14">
        <f>AK40*76</f>
        <v>0</v>
      </c>
    </row>
    <row r="41" spans="2:42" x14ac:dyDescent="0.3">
      <c r="B41" s="42" t="s">
        <v>22</v>
      </c>
      <c r="C41" s="16"/>
      <c r="D41" s="16"/>
      <c r="E41" s="16"/>
      <c r="F41" s="16"/>
      <c r="G41" s="16" t="s">
        <v>65</v>
      </c>
      <c r="H41" s="16"/>
      <c r="I41" s="15">
        <f t="shared" si="6"/>
        <v>0</v>
      </c>
      <c r="J41" s="14">
        <f>I41*100</f>
        <v>0</v>
      </c>
      <c r="K41" s="16"/>
      <c r="L41" s="16"/>
      <c r="M41" s="16"/>
      <c r="N41" s="16"/>
      <c r="O41" s="16"/>
      <c r="P41" s="16"/>
      <c r="Q41" s="15">
        <f t="shared" si="7"/>
        <v>0</v>
      </c>
      <c r="R41" s="14">
        <f>Q41*100</f>
        <v>0</v>
      </c>
      <c r="S41" s="16" t="s">
        <v>65</v>
      </c>
      <c r="T41" s="16" t="s">
        <v>65</v>
      </c>
      <c r="U41" s="16" t="s">
        <v>65</v>
      </c>
      <c r="V41" s="16" t="s">
        <v>65</v>
      </c>
      <c r="W41" s="16"/>
      <c r="X41" s="16"/>
      <c r="Y41" s="15">
        <f t="shared" si="8"/>
        <v>0</v>
      </c>
      <c r="Z41" s="14">
        <f>Y41*100</f>
        <v>0</v>
      </c>
      <c r="AA41" s="16" t="s">
        <v>65</v>
      </c>
      <c r="AB41" s="16" t="s">
        <v>65</v>
      </c>
      <c r="AC41" s="16"/>
      <c r="AD41" s="16"/>
      <c r="AE41" s="16"/>
      <c r="AF41" s="16"/>
      <c r="AG41" s="15">
        <f t="shared" si="5"/>
        <v>0</v>
      </c>
      <c r="AH41" s="14">
        <f>AG41*100</f>
        <v>0</v>
      </c>
      <c r="AI41" s="16"/>
      <c r="AJ41" s="16"/>
      <c r="AK41" s="15">
        <f t="shared" si="9"/>
        <v>0</v>
      </c>
      <c r="AL41" s="14">
        <f>AK41*100</f>
        <v>0</v>
      </c>
    </row>
    <row r="42" spans="2:42" x14ac:dyDescent="0.3">
      <c r="B42" s="42" t="s">
        <v>21</v>
      </c>
      <c r="C42" s="16"/>
      <c r="D42" s="16"/>
      <c r="E42" s="16"/>
      <c r="F42" s="16"/>
      <c r="G42" s="16" t="s">
        <v>65</v>
      </c>
      <c r="H42" s="16"/>
      <c r="I42" s="15">
        <f t="shared" si="6"/>
        <v>0</v>
      </c>
      <c r="J42" s="14">
        <f>I42*100</f>
        <v>0</v>
      </c>
      <c r="K42" s="16"/>
      <c r="L42" s="16"/>
      <c r="M42" s="16"/>
      <c r="N42" s="16"/>
      <c r="O42" s="16"/>
      <c r="P42" s="16"/>
      <c r="Q42" s="15">
        <f t="shared" si="7"/>
        <v>0</v>
      </c>
      <c r="R42" s="14">
        <f>Q42*100</f>
        <v>0</v>
      </c>
      <c r="S42" s="16" t="s">
        <v>65</v>
      </c>
      <c r="T42" s="16" t="s">
        <v>65</v>
      </c>
      <c r="U42" s="16" t="s">
        <v>65</v>
      </c>
      <c r="V42" s="16" t="s">
        <v>65</v>
      </c>
      <c r="W42" s="16"/>
      <c r="X42" s="16"/>
      <c r="Y42" s="15">
        <f t="shared" si="8"/>
        <v>0</v>
      </c>
      <c r="Z42" s="14">
        <f>Y42*100</f>
        <v>0</v>
      </c>
      <c r="AA42" s="16" t="s">
        <v>65</v>
      </c>
      <c r="AB42" s="16" t="s">
        <v>65</v>
      </c>
      <c r="AC42" s="16"/>
      <c r="AD42" s="16"/>
      <c r="AE42" s="16"/>
      <c r="AF42" s="16"/>
      <c r="AG42" s="15">
        <f t="shared" si="5"/>
        <v>0</v>
      </c>
      <c r="AH42" s="14">
        <f>AG42*100</f>
        <v>0</v>
      </c>
      <c r="AI42" s="16"/>
      <c r="AJ42" s="16"/>
      <c r="AK42" s="15">
        <f t="shared" si="9"/>
        <v>0</v>
      </c>
      <c r="AL42" s="14">
        <f>AK42*100</f>
        <v>0</v>
      </c>
    </row>
    <row r="43" spans="2:42" x14ac:dyDescent="0.3">
      <c r="B43" s="42" t="s">
        <v>20</v>
      </c>
      <c r="C43" s="16"/>
      <c r="D43" s="16"/>
      <c r="E43" s="16"/>
      <c r="F43" s="16"/>
      <c r="G43" s="16" t="s">
        <v>65</v>
      </c>
      <c r="H43" s="16"/>
      <c r="I43" s="15">
        <f t="shared" si="6"/>
        <v>0</v>
      </c>
      <c r="J43" s="14">
        <f>I43*78</f>
        <v>0</v>
      </c>
      <c r="K43" s="16"/>
      <c r="L43" s="16"/>
      <c r="M43" s="16"/>
      <c r="N43" s="16"/>
      <c r="O43" s="16"/>
      <c r="P43" s="16"/>
      <c r="Q43" s="15">
        <f t="shared" si="7"/>
        <v>0</v>
      </c>
      <c r="R43" s="14">
        <f>Q43*78</f>
        <v>0</v>
      </c>
      <c r="S43" s="16" t="s">
        <v>65</v>
      </c>
      <c r="T43" s="16" t="s">
        <v>65</v>
      </c>
      <c r="U43" s="16" t="s">
        <v>65</v>
      </c>
      <c r="V43" s="16" t="s">
        <v>65</v>
      </c>
      <c r="W43" s="16"/>
      <c r="X43" s="16"/>
      <c r="Y43" s="15">
        <f t="shared" si="8"/>
        <v>0</v>
      </c>
      <c r="Z43" s="14">
        <f>Y43*78</f>
        <v>0</v>
      </c>
      <c r="AA43" s="16" t="s">
        <v>65</v>
      </c>
      <c r="AB43" s="16" t="s">
        <v>65</v>
      </c>
      <c r="AC43" s="16"/>
      <c r="AD43" s="16"/>
      <c r="AE43" s="16"/>
      <c r="AF43" s="16"/>
      <c r="AG43" s="15">
        <f t="shared" si="5"/>
        <v>0</v>
      </c>
      <c r="AH43" s="14">
        <f>AG43*78</f>
        <v>0</v>
      </c>
      <c r="AI43" s="16"/>
      <c r="AJ43" s="16"/>
      <c r="AK43" s="15">
        <f t="shared" si="9"/>
        <v>0</v>
      </c>
      <c r="AL43" s="14">
        <f>AK43*78</f>
        <v>0</v>
      </c>
    </row>
    <row r="44" spans="2:42" ht="15.6" x14ac:dyDescent="0.3">
      <c r="B44" s="17" t="s">
        <v>19</v>
      </c>
      <c r="C44" s="16"/>
      <c r="D44" s="16">
        <v>43</v>
      </c>
      <c r="E44" s="16">
        <v>20</v>
      </c>
      <c r="F44" s="16"/>
      <c r="G44" s="16"/>
      <c r="H44" s="16"/>
      <c r="I44" s="15">
        <f>SUM(C44:H44)</f>
        <v>63</v>
      </c>
      <c r="J44" s="14">
        <f>I44*89</f>
        <v>5607</v>
      </c>
      <c r="K44" s="16"/>
      <c r="L44" s="16"/>
      <c r="M44" s="16">
        <v>130</v>
      </c>
      <c r="N44" s="16"/>
      <c r="O44" s="16"/>
      <c r="P44" s="16"/>
      <c r="Q44" s="15">
        <f>SUM(K44:P44)</f>
        <v>130</v>
      </c>
      <c r="R44" s="14">
        <f>Q44*91</f>
        <v>11830</v>
      </c>
      <c r="S44" s="16"/>
      <c r="T44" s="16">
        <v>90</v>
      </c>
      <c r="U44" s="16"/>
      <c r="V44" s="16"/>
      <c r="W44" s="16">
        <v>4</v>
      </c>
      <c r="X44" s="16">
        <v>10</v>
      </c>
      <c r="Y44" s="15">
        <f t="shared" si="8"/>
        <v>104</v>
      </c>
      <c r="Z44" s="14">
        <f>Y44*91</f>
        <v>9464</v>
      </c>
      <c r="AA44" s="16"/>
      <c r="AB44" s="16">
        <v>80</v>
      </c>
      <c r="AC44" s="16"/>
      <c r="AD44" s="16">
        <v>15</v>
      </c>
      <c r="AE44" s="16">
        <v>80</v>
      </c>
      <c r="AF44" s="16"/>
      <c r="AG44" s="15">
        <f t="shared" si="5"/>
        <v>175</v>
      </c>
      <c r="AH44" s="14">
        <f>AG44*91</f>
        <v>15925</v>
      </c>
      <c r="AI44" s="16"/>
      <c r="AJ44" s="16"/>
      <c r="AK44" s="15">
        <f t="shared" si="9"/>
        <v>0</v>
      </c>
      <c r="AL44" s="14">
        <f>AK44*91</f>
        <v>0</v>
      </c>
      <c r="AN44" s="41"/>
      <c r="AO44" s="40"/>
    </row>
    <row r="45" spans="2:42" x14ac:dyDescent="0.3">
      <c r="B45" s="17" t="s">
        <v>18</v>
      </c>
      <c r="C45" s="16"/>
      <c r="D45" s="16"/>
      <c r="E45" s="16"/>
      <c r="F45" s="16"/>
      <c r="G45" s="16">
        <v>65</v>
      </c>
      <c r="H45" s="16"/>
      <c r="I45" s="15">
        <f>SUM(C45:H45)</f>
        <v>65</v>
      </c>
      <c r="J45" s="14">
        <f>I45*92</f>
        <v>5980</v>
      </c>
      <c r="K45" s="16"/>
      <c r="L45" s="16"/>
      <c r="M45" s="16"/>
      <c r="N45" s="16"/>
      <c r="O45" s="16"/>
      <c r="P45" s="16"/>
      <c r="Q45" s="15">
        <f>SUM(K45:P45)</f>
        <v>0</v>
      </c>
      <c r="R45" s="14">
        <f>Q45*93</f>
        <v>0</v>
      </c>
      <c r="S45" s="16"/>
      <c r="T45" s="16">
        <v>34</v>
      </c>
      <c r="U45" s="16"/>
      <c r="V45" s="16"/>
      <c r="W45" s="16"/>
      <c r="X45" s="16"/>
      <c r="Y45" s="15">
        <f t="shared" si="8"/>
        <v>34</v>
      </c>
      <c r="Z45" s="14">
        <f>Y45*93</f>
        <v>3162</v>
      </c>
      <c r="AA45" s="16"/>
      <c r="AB45" s="16"/>
      <c r="AC45" s="16"/>
      <c r="AD45" s="16"/>
      <c r="AE45" s="16"/>
      <c r="AF45" s="16"/>
      <c r="AG45" s="15">
        <f t="shared" si="5"/>
        <v>0</v>
      </c>
      <c r="AH45" s="14">
        <f>AG45*94</f>
        <v>0</v>
      </c>
      <c r="AI45" s="16">
        <v>15</v>
      </c>
      <c r="AJ45" s="16"/>
      <c r="AK45" s="15">
        <f t="shared" si="9"/>
        <v>15</v>
      </c>
      <c r="AL45" s="14">
        <f>AK45*94</f>
        <v>1410</v>
      </c>
    </row>
    <row r="46" spans="2:42" x14ac:dyDescent="0.3">
      <c r="B46" s="17" t="s">
        <v>17</v>
      </c>
      <c r="C46" s="16">
        <v>24</v>
      </c>
      <c r="D46" s="16">
        <v>12</v>
      </c>
      <c r="E46" s="16">
        <v>13</v>
      </c>
      <c r="F46" s="16">
        <v>20</v>
      </c>
      <c r="G46" s="16">
        <v>21</v>
      </c>
      <c r="H46" s="16">
        <v>33</v>
      </c>
      <c r="I46" s="15">
        <v>35</v>
      </c>
      <c r="J46" s="14">
        <f>I46*90</f>
        <v>3150</v>
      </c>
      <c r="K46" s="16">
        <v>30</v>
      </c>
      <c r="L46" s="16">
        <v>6</v>
      </c>
      <c r="M46" s="16">
        <v>12</v>
      </c>
      <c r="N46" s="16">
        <v>4</v>
      </c>
      <c r="O46" s="16"/>
      <c r="P46" s="16">
        <v>10</v>
      </c>
      <c r="Q46" s="15">
        <f>SUM(K46:P46)</f>
        <v>62</v>
      </c>
      <c r="R46" s="14">
        <f>Q46*91</f>
        <v>5642</v>
      </c>
      <c r="S46" s="16">
        <v>29</v>
      </c>
      <c r="T46" s="16"/>
      <c r="U46" s="16"/>
      <c r="V46" s="16">
        <v>20</v>
      </c>
      <c r="W46" s="16"/>
      <c r="X46" s="16">
        <v>35</v>
      </c>
      <c r="Y46" s="15">
        <f t="shared" si="8"/>
        <v>84</v>
      </c>
      <c r="Z46" s="14">
        <f>Y46*91</f>
        <v>7644</v>
      </c>
      <c r="AA46" s="16">
        <v>5</v>
      </c>
      <c r="AB46" s="16"/>
      <c r="AC46" s="16">
        <v>10</v>
      </c>
      <c r="AD46" s="16">
        <v>35</v>
      </c>
      <c r="AE46" s="16">
        <v>2</v>
      </c>
      <c r="AF46" s="16">
        <v>5</v>
      </c>
      <c r="AG46" s="15">
        <f t="shared" si="5"/>
        <v>57</v>
      </c>
      <c r="AH46" s="14">
        <f>AG46*92</f>
        <v>5244</v>
      </c>
      <c r="AI46" s="16">
        <v>11</v>
      </c>
      <c r="AJ46" s="16"/>
      <c r="AK46" s="15">
        <f t="shared" si="9"/>
        <v>11</v>
      </c>
      <c r="AL46" s="14">
        <f>AK46*92</f>
        <v>1012</v>
      </c>
    </row>
    <row r="47" spans="2:42" x14ac:dyDescent="0.3">
      <c r="B47" s="17" t="s">
        <v>14</v>
      </c>
      <c r="C47" s="16">
        <v>10</v>
      </c>
      <c r="D47" s="16">
        <v>11</v>
      </c>
      <c r="E47" s="16">
        <v>40</v>
      </c>
      <c r="F47" s="16"/>
      <c r="G47" s="16">
        <v>22</v>
      </c>
      <c r="H47" s="16">
        <v>3</v>
      </c>
      <c r="I47" s="15">
        <f>SUM(C47:H47)</f>
        <v>86</v>
      </c>
      <c r="J47" s="14">
        <f>I47*52</f>
        <v>4472</v>
      </c>
      <c r="K47" s="16"/>
      <c r="L47" s="16">
        <v>4</v>
      </c>
      <c r="M47" s="16">
        <v>41</v>
      </c>
      <c r="N47" s="16">
        <v>8</v>
      </c>
      <c r="O47" s="16"/>
      <c r="P47" s="16">
        <v>30</v>
      </c>
      <c r="Q47" s="15">
        <f>SUM(K47:P47)</f>
        <v>83</v>
      </c>
      <c r="R47" s="14">
        <f>Q47*55</f>
        <v>4565</v>
      </c>
      <c r="S47" s="16">
        <v>7</v>
      </c>
      <c r="T47" s="16">
        <v>71</v>
      </c>
      <c r="U47" s="16">
        <v>40</v>
      </c>
      <c r="V47" s="16">
        <v>10</v>
      </c>
      <c r="W47" s="16">
        <v>16</v>
      </c>
      <c r="X47" s="16">
        <v>29</v>
      </c>
      <c r="Y47" s="15">
        <f t="shared" si="8"/>
        <v>173</v>
      </c>
      <c r="Z47" s="14">
        <f>Y47*58</f>
        <v>10034</v>
      </c>
      <c r="AA47" s="16">
        <v>6</v>
      </c>
      <c r="AB47" s="16">
        <v>19</v>
      </c>
      <c r="AC47" s="16">
        <v>10</v>
      </c>
      <c r="AD47" s="16">
        <v>20</v>
      </c>
      <c r="AE47" s="16">
        <v>25</v>
      </c>
      <c r="AF47" s="16"/>
      <c r="AG47" s="15">
        <f t="shared" si="5"/>
        <v>80</v>
      </c>
      <c r="AH47" s="14">
        <f>AG47*58</f>
        <v>4640</v>
      </c>
      <c r="AI47" s="16">
        <v>23</v>
      </c>
      <c r="AJ47" s="16">
        <v>20</v>
      </c>
      <c r="AK47" s="15">
        <f t="shared" si="9"/>
        <v>43</v>
      </c>
      <c r="AL47" s="14">
        <f>AK47*58</f>
        <v>2494</v>
      </c>
    </row>
    <row r="48" spans="2:42" ht="15.6" x14ac:dyDescent="0.3">
      <c r="C48" s="10"/>
      <c r="D48" s="10"/>
      <c r="E48" s="10"/>
      <c r="F48" s="10"/>
      <c r="G48" s="10"/>
      <c r="H48" s="10"/>
      <c r="I48" s="39">
        <f>SUM(I20:I43)</f>
        <v>639</v>
      </c>
      <c r="J48" s="38">
        <f>SUM(J20:J43)</f>
        <v>35027</v>
      </c>
      <c r="K48" s="10"/>
      <c r="L48" s="10"/>
      <c r="M48" s="10"/>
      <c r="N48" s="10"/>
      <c r="O48" s="10"/>
      <c r="P48" s="10"/>
      <c r="Q48" s="39">
        <f>SUM(Q20:Q43)</f>
        <v>412</v>
      </c>
      <c r="R48" s="38">
        <f>SUM(R20:R43)</f>
        <v>20279</v>
      </c>
      <c r="S48" s="10"/>
      <c r="T48" s="10"/>
      <c r="U48" s="10"/>
      <c r="V48" s="10"/>
      <c r="W48" s="10"/>
      <c r="X48" s="10"/>
      <c r="Y48" s="39">
        <f>SUM(Y20:Y43)</f>
        <v>530</v>
      </c>
      <c r="Z48" s="38">
        <f>SUM(Z20:Z43)</f>
        <v>37801</v>
      </c>
      <c r="AA48" s="10"/>
      <c r="AB48" s="10"/>
      <c r="AC48" s="10"/>
      <c r="AD48" s="10"/>
      <c r="AE48" s="10"/>
      <c r="AF48" s="10"/>
      <c r="AG48" s="39">
        <f>SUM(AG20:AG43)</f>
        <v>1034</v>
      </c>
      <c r="AH48" s="38">
        <f>SUM(AH20:AH43)</f>
        <v>92148</v>
      </c>
      <c r="AI48" s="10"/>
      <c r="AJ48" s="10"/>
      <c r="AK48" s="39">
        <f>SUM(AK20:AK43)</f>
        <v>58</v>
      </c>
      <c r="AL48" s="38">
        <f>SUM(AL20:AL43)</f>
        <v>4184</v>
      </c>
      <c r="AN48" s="35" t="s">
        <v>15</v>
      </c>
      <c r="AO48" s="37">
        <f>I51+Q51+Y51+AG51+AK51</f>
        <v>835</v>
      </c>
      <c r="AP48" s="30">
        <f>AO49/AO48</f>
        <v>91.101796407185631</v>
      </c>
    </row>
    <row r="49" spans="2:45" ht="15.6" x14ac:dyDescent="0.3">
      <c r="C49" s="32"/>
      <c r="D49" s="32"/>
      <c r="E49" s="32"/>
      <c r="F49" s="32"/>
      <c r="G49" s="32"/>
      <c r="H49" s="32"/>
      <c r="I49" s="36"/>
      <c r="J49" s="11"/>
      <c r="K49" s="32"/>
      <c r="L49" s="32"/>
      <c r="M49" s="32"/>
      <c r="N49" s="32"/>
      <c r="O49" s="32"/>
      <c r="P49" s="32"/>
      <c r="Q49" s="36"/>
      <c r="R49" s="11"/>
      <c r="S49" s="32"/>
      <c r="T49" s="32"/>
      <c r="U49" s="32"/>
      <c r="V49" s="32"/>
      <c r="W49" s="32"/>
      <c r="X49" s="32"/>
      <c r="Y49" s="36"/>
      <c r="Z49" s="11"/>
      <c r="AA49" s="32"/>
      <c r="AB49" s="32"/>
      <c r="AC49" s="32"/>
      <c r="AD49" s="32"/>
      <c r="AE49" s="32"/>
      <c r="AF49" s="32"/>
      <c r="AG49" s="36"/>
      <c r="AH49" s="11"/>
      <c r="AI49" s="32"/>
      <c r="AJ49" s="32"/>
      <c r="AK49" s="36"/>
      <c r="AL49" s="11"/>
      <c r="AN49" s="35" t="s">
        <v>3</v>
      </c>
      <c r="AO49" s="34">
        <f>J51+R51+Z51+AH51+AL51</f>
        <v>76070</v>
      </c>
    </row>
    <row r="50" spans="2:45" ht="15.6" x14ac:dyDescent="0.3">
      <c r="B50" s="29" t="s">
        <v>13</v>
      </c>
      <c r="C50" s="32"/>
      <c r="D50" s="32"/>
      <c r="E50" s="32"/>
      <c r="F50" s="32"/>
      <c r="H50" s="32"/>
      <c r="I50" s="4">
        <f>I48+I19</f>
        <v>2056</v>
      </c>
      <c r="J50" s="28">
        <f>J48+J19</f>
        <v>121170</v>
      </c>
      <c r="K50" s="32"/>
      <c r="L50" s="32"/>
      <c r="M50" s="32"/>
      <c r="N50" s="32"/>
      <c r="O50" s="32"/>
      <c r="P50" s="32"/>
      <c r="Q50" s="4">
        <f>Q48+Q19</f>
        <v>1353</v>
      </c>
      <c r="R50" s="28">
        <f>R48+R19</f>
        <v>87674</v>
      </c>
      <c r="S50" s="11">
        <f>R50/Q50</f>
        <v>64.799704360679968</v>
      </c>
      <c r="T50" s="32"/>
      <c r="U50" s="32"/>
      <c r="W50" s="32"/>
      <c r="X50" s="11">
        <f>Z50/Y50</f>
        <v>72.96860643185299</v>
      </c>
      <c r="Y50" s="4">
        <f>Y48+Y19</f>
        <v>1306</v>
      </c>
      <c r="Z50" s="28">
        <f>Z48+Z19</f>
        <v>95297</v>
      </c>
      <c r="AA50" s="32"/>
      <c r="AC50" s="32"/>
      <c r="AD50" s="32"/>
      <c r="AE50" s="32"/>
      <c r="AF50" s="11">
        <f>AH50/AG50</f>
        <v>82.605967078189295</v>
      </c>
      <c r="AG50" s="4">
        <f>AG48+AG19</f>
        <v>1944</v>
      </c>
      <c r="AH50" s="28">
        <f>AH48+AH19</f>
        <v>160586</v>
      </c>
      <c r="AI50" s="32"/>
      <c r="AJ50" s="11">
        <f>AL50/AK50</f>
        <v>72.008264462809919</v>
      </c>
      <c r="AK50" s="4">
        <f>AK48+AK19</f>
        <v>363</v>
      </c>
      <c r="AL50" s="28">
        <f>AL48+AL19</f>
        <v>26139</v>
      </c>
    </row>
    <row r="51" spans="2:45" ht="15.6" x14ac:dyDescent="0.3">
      <c r="B51" s="29" t="s">
        <v>15</v>
      </c>
      <c r="C51" s="32"/>
      <c r="D51" s="32"/>
      <c r="E51" s="32"/>
      <c r="F51" s="32"/>
      <c r="G51" s="32"/>
      <c r="H51" s="32"/>
      <c r="I51" s="4">
        <f>SUM(I44:I46)</f>
        <v>163</v>
      </c>
      <c r="J51" s="28">
        <f>SUM(J44:J46)</f>
        <v>14737</v>
      </c>
      <c r="K51" s="32"/>
      <c r="L51" s="32"/>
      <c r="M51" s="32"/>
      <c r="N51" s="32"/>
      <c r="O51" s="32"/>
      <c r="P51" s="32"/>
      <c r="Q51" s="4">
        <f>SUM(Q44:Q46)</f>
        <v>192</v>
      </c>
      <c r="R51" s="28">
        <f>SUM(R44:R46)</f>
        <v>17472</v>
      </c>
      <c r="S51" s="32"/>
      <c r="T51" s="32"/>
      <c r="U51" s="32"/>
      <c r="V51" s="32"/>
      <c r="W51" s="32"/>
      <c r="X51" s="32"/>
      <c r="Y51" s="4">
        <f>SUM(Y44:Y46)</f>
        <v>222</v>
      </c>
      <c r="Z51" s="28">
        <f>SUM(Z44:Z46)</f>
        <v>20270</v>
      </c>
      <c r="AA51" s="32"/>
      <c r="AB51" s="32"/>
      <c r="AC51" s="32"/>
      <c r="AD51" s="32"/>
      <c r="AE51" s="32"/>
      <c r="AF51" s="32"/>
      <c r="AG51" s="4">
        <f>SUM(AG44:AG46)</f>
        <v>232</v>
      </c>
      <c r="AH51" s="28">
        <f>SUM(AH44:AH46)</f>
        <v>21169</v>
      </c>
      <c r="AI51" s="32"/>
      <c r="AJ51" s="32"/>
      <c r="AK51" s="4">
        <f>SUM(AK44:AK46)</f>
        <v>26</v>
      </c>
      <c r="AL51" s="28">
        <f>SUM(AL44:AL46)</f>
        <v>2422</v>
      </c>
      <c r="AN51" s="27" t="s">
        <v>14</v>
      </c>
      <c r="AO51" s="31">
        <f>I52+Q52+Y52+AG52+AK52</f>
        <v>465</v>
      </c>
      <c r="AP51" s="30">
        <f>AO52/AO51</f>
        <v>56.354838709677416</v>
      </c>
    </row>
    <row r="52" spans="2:45" ht="15.6" x14ac:dyDescent="0.3">
      <c r="B52" s="29" t="s">
        <v>14</v>
      </c>
      <c r="I52" s="4">
        <f>I47</f>
        <v>86</v>
      </c>
      <c r="J52" s="28">
        <f>J47</f>
        <v>4472</v>
      </c>
      <c r="K52" s="32"/>
      <c r="Q52" s="4">
        <f>Q47</f>
        <v>83</v>
      </c>
      <c r="R52" s="28">
        <f>R47</f>
        <v>4565</v>
      </c>
      <c r="Y52" s="4">
        <f>Y47</f>
        <v>173</v>
      </c>
      <c r="Z52" s="28">
        <f>Z47</f>
        <v>10034</v>
      </c>
      <c r="AG52" s="4">
        <f>AG47</f>
        <v>80</v>
      </c>
      <c r="AH52" s="28">
        <f>AH47</f>
        <v>4640</v>
      </c>
      <c r="AK52" s="4">
        <f>AK47</f>
        <v>43</v>
      </c>
      <c r="AL52" s="28">
        <f>AL47</f>
        <v>2494</v>
      </c>
      <c r="AN52" s="27" t="s">
        <v>3</v>
      </c>
      <c r="AO52" s="26">
        <f>J52+R52+Z52+AH52+AL52</f>
        <v>26205</v>
      </c>
    </row>
    <row r="53" spans="2:45" ht="15.6" x14ac:dyDescent="0.3">
      <c r="J53">
        <f>SUM(H53:I53)</f>
        <v>0</v>
      </c>
      <c r="K53" s="32">
        <f>J53*50</f>
        <v>0</v>
      </c>
    </row>
    <row r="55" spans="2:45" s="22" customFormat="1" ht="13.8" customHeight="1" x14ac:dyDescent="0.3">
      <c r="B55" s="25" t="s">
        <v>13</v>
      </c>
      <c r="C55" s="24">
        <v>45901</v>
      </c>
      <c r="D55" s="24">
        <v>45902</v>
      </c>
      <c r="E55" s="24">
        <v>45903</v>
      </c>
      <c r="F55" s="24">
        <v>45904</v>
      </c>
      <c r="G55" s="24">
        <v>45905</v>
      </c>
      <c r="H55" s="24">
        <v>45906</v>
      </c>
      <c r="I55" s="23" t="s">
        <v>12</v>
      </c>
      <c r="J55" s="23" t="s">
        <v>11</v>
      </c>
      <c r="K55" s="24">
        <v>45908</v>
      </c>
      <c r="L55" s="24">
        <v>45909</v>
      </c>
      <c r="M55" s="24">
        <v>45910</v>
      </c>
      <c r="N55" s="24">
        <v>45911</v>
      </c>
      <c r="O55" s="24">
        <v>45912</v>
      </c>
      <c r="P55" s="24">
        <v>45913</v>
      </c>
      <c r="Q55" s="23" t="s">
        <v>12</v>
      </c>
      <c r="R55" s="23" t="s">
        <v>11</v>
      </c>
      <c r="S55" s="24">
        <v>45915</v>
      </c>
      <c r="T55" s="24">
        <v>45916</v>
      </c>
      <c r="U55" s="24">
        <v>45917</v>
      </c>
      <c r="V55" s="24">
        <v>45918</v>
      </c>
      <c r="W55" s="24">
        <v>45919</v>
      </c>
      <c r="X55" s="24">
        <v>45920</v>
      </c>
      <c r="Y55" s="23" t="s">
        <v>12</v>
      </c>
      <c r="Z55" s="23" t="s">
        <v>11</v>
      </c>
      <c r="AA55" s="24">
        <v>45922</v>
      </c>
      <c r="AB55" s="24">
        <v>45923</v>
      </c>
      <c r="AC55" s="24">
        <v>45924</v>
      </c>
      <c r="AD55" s="24">
        <v>45925</v>
      </c>
      <c r="AE55" s="24">
        <v>45926</v>
      </c>
      <c r="AF55" s="24">
        <v>45927</v>
      </c>
      <c r="AG55" s="23" t="s">
        <v>12</v>
      </c>
      <c r="AH55" s="23" t="s">
        <v>11</v>
      </c>
      <c r="AI55" s="24">
        <v>45929</v>
      </c>
      <c r="AJ55" s="24">
        <v>45930</v>
      </c>
      <c r="AK55" s="23" t="s">
        <v>12</v>
      </c>
      <c r="AL55" s="23" t="s">
        <v>11</v>
      </c>
    </row>
    <row r="56" spans="2:45" ht="15" customHeight="1" x14ac:dyDescent="0.3">
      <c r="B56" s="17" t="s">
        <v>10</v>
      </c>
      <c r="C56" s="16">
        <v>151</v>
      </c>
      <c r="D56" s="16">
        <v>169</v>
      </c>
      <c r="E56" s="16">
        <v>323</v>
      </c>
      <c r="F56" s="16">
        <v>50</v>
      </c>
      <c r="G56" s="16">
        <v>250</v>
      </c>
      <c r="H56" s="16">
        <v>325</v>
      </c>
      <c r="I56" s="15">
        <f>SUM(C56:H56)</f>
        <v>1268</v>
      </c>
      <c r="J56" s="14">
        <f>I56*92</f>
        <v>116656</v>
      </c>
      <c r="K56" s="16">
        <v>118</v>
      </c>
      <c r="L56" s="16">
        <v>48</v>
      </c>
      <c r="M56" s="16">
        <v>204</v>
      </c>
      <c r="N56" s="16">
        <v>76</v>
      </c>
      <c r="O56" s="16"/>
      <c r="P56" s="16">
        <v>190</v>
      </c>
      <c r="Q56" s="15">
        <f t="shared" ref="Q56:Q61" si="10">SUM(K56:P56)</f>
        <v>636</v>
      </c>
      <c r="R56" s="14">
        <f>Q56*93</f>
        <v>59148</v>
      </c>
      <c r="S56" s="16">
        <v>159</v>
      </c>
      <c r="T56" s="16">
        <v>310</v>
      </c>
      <c r="U56" s="16">
        <v>90</v>
      </c>
      <c r="V56" s="16">
        <v>130</v>
      </c>
      <c r="W56" s="16">
        <v>165</v>
      </c>
      <c r="X56" s="16">
        <v>135</v>
      </c>
      <c r="Y56" s="15">
        <f t="shared" ref="Y56:Y61" si="11">SUM(S56:X56)</f>
        <v>989</v>
      </c>
      <c r="Z56" s="14">
        <f>Y56*93</f>
        <v>91977</v>
      </c>
      <c r="AA56" s="16">
        <v>141</v>
      </c>
      <c r="AB56" s="16">
        <v>512</v>
      </c>
      <c r="AC56" s="16">
        <v>135</v>
      </c>
      <c r="AD56" s="16">
        <v>155</v>
      </c>
      <c r="AE56" s="16">
        <v>337</v>
      </c>
      <c r="AF56" s="16">
        <v>82</v>
      </c>
      <c r="AG56" s="15">
        <f t="shared" ref="AG56:AG61" si="12">SUM(AA56:AF56)</f>
        <v>1362</v>
      </c>
      <c r="AH56" s="14">
        <f>AG56*94</f>
        <v>128028</v>
      </c>
      <c r="AI56" s="16">
        <v>160</v>
      </c>
      <c r="AJ56" s="16">
        <v>185</v>
      </c>
      <c r="AK56" s="15">
        <f t="shared" ref="AK56:AK61" si="13">SUM(AI56:AJ56)</f>
        <v>345</v>
      </c>
      <c r="AL56" s="14">
        <f>AK56*94</f>
        <v>32430</v>
      </c>
    </row>
    <row r="57" spans="2:45" x14ac:dyDescent="0.3">
      <c r="B57" s="17" t="s">
        <v>9</v>
      </c>
      <c r="C57" s="16">
        <v>93</v>
      </c>
      <c r="D57" s="16">
        <v>197</v>
      </c>
      <c r="E57" s="16">
        <v>263</v>
      </c>
      <c r="F57" s="16">
        <v>60</v>
      </c>
      <c r="G57" s="16">
        <v>270</v>
      </c>
      <c r="H57" s="16">
        <v>392</v>
      </c>
      <c r="I57" s="15">
        <v>322</v>
      </c>
      <c r="J57" s="14">
        <f>I57*90</f>
        <v>28980</v>
      </c>
      <c r="K57" s="16">
        <v>120</v>
      </c>
      <c r="L57" s="16">
        <v>40</v>
      </c>
      <c r="M57" s="16">
        <v>278</v>
      </c>
      <c r="N57" s="16">
        <v>62</v>
      </c>
      <c r="O57" s="16"/>
      <c r="P57" s="16">
        <v>195</v>
      </c>
      <c r="Q57" s="15">
        <f t="shared" si="10"/>
        <v>695</v>
      </c>
      <c r="R57" s="14">
        <f>Q57*91</f>
        <v>63245</v>
      </c>
      <c r="S57" s="16">
        <v>140</v>
      </c>
      <c r="T57" s="16">
        <v>360</v>
      </c>
      <c r="U57" s="16">
        <v>65</v>
      </c>
      <c r="V57" s="16">
        <v>280</v>
      </c>
      <c r="W57" s="16">
        <v>112</v>
      </c>
      <c r="X57" s="16">
        <v>195</v>
      </c>
      <c r="Y57" s="15">
        <f t="shared" si="11"/>
        <v>1152</v>
      </c>
      <c r="Z57" s="14">
        <f>Y57*91</f>
        <v>104832</v>
      </c>
      <c r="AA57" s="16">
        <v>123</v>
      </c>
      <c r="AB57" s="16">
        <v>450</v>
      </c>
      <c r="AC57" s="16">
        <v>165</v>
      </c>
      <c r="AD57" s="16">
        <v>140</v>
      </c>
      <c r="AE57" s="16">
        <v>370</v>
      </c>
      <c r="AF57" s="16">
        <v>23</v>
      </c>
      <c r="AG57" s="15">
        <f t="shared" si="12"/>
        <v>1271</v>
      </c>
      <c r="AH57" s="14">
        <f>AG57*92</f>
        <v>116932</v>
      </c>
      <c r="AI57" s="16">
        <v>200</v>
      </c>
      <c r="AJ57" s="16">
        <v>165</v>
      </c>
      <c r="AK57" s="15">
        <f t="shared" si="13"/>
        <v>365</v>
      </c>
      <c r="AL57" s="14">
        <f>AK57*92</f>
        <v>33580</v>
      </c>
    </row>
    <row r="58" spans="2:45" ht="15.6" x14ac:dyDescent="0.3">
      <c r="B58" s="17" t="s">
        <v>8</v>
      </c>
      <c r="C58" s="16">
        <v>18</v>
      </c>
      <c r="D58" s="16">
        <v>17</v>
      </c>
      <c r="E58" s="16">
        <v>80</v>
      </c>
      <c r="F58" s="16">
        <v>5</v>
      </c>
      <c r="G58" s="16">
        <v>34</v>
      </c>
      <c r="H58" s="16">
        <v>57</v>
      </c>
      <c r="I58" s="15">
        <v>119</v>
      </c>
      <c r="J58" s="14">
        <f>I58*92</f>
        <v>10948</v>
      </c>
      <c r="K58" s="16">
        <v>30</v>
      </c>
      <c r="L58" s="16">
        <v>8</v>
      </c>
      <c r="M58" s="16">
        <v>22</v>
      </c>
      <c r="N58" s="16">
        <v>26</v>
      </c>
      <c r="O58" s="16"/>
      <c r="P58" s="16">
        <v>20</v>
      </c>
      <c r="Q58" s="15">
        <f t="shared" si="10"/>
        <v>106</v>
      </c>
      <c r="R58" s="14">
        <f>Q58*93</f>
        <v>9858</v>
      </c>
      <c r="S58" s="16">
        <v>27</v>
      </c>
      <c r="T58" s="16">
        <v>55</v>
      </c>
      <c r="U58" s="16">
        <v>48</v>
      </c>
      <c r="V58" s="16">
        <v>20</v>
      </c>
      <c r="W58" s="16">
        <v>36</v>
      </c>
      <c r="X58" s="16">
        <v>20</v>
      </c>
      <c r="Y58" s="15">
        <f t="shared" si="11"/>
        <v>206</v>
      </c>
      <c r="Z58" s="14">
        <f>Y58*93</f>
        <v>19158</v>
      </c>
      <c r="AA58" s="16">
        <v>5</v>
      </c>
      <c r="AB58" s="16">
        <v>117</v>
      </c>
      <c r="AC58" s="16">
        <v>16</v>
      </c>
      <c r="AD58" s="16">
        <v>190</v>
      </c>
      <c r="AE58" s="16">
        <v>52</v>
      </c>
      <c r="AF58" s="16">
        <v>30</v>
      </c>
      <c r="AG58" s="15">
        <f t="shared" si="12"/>
        <v>410</v>
      </c>
      <c r="AH58" s="14">
        <f>AG58*94</f>
        <v>38540</v>
      </c>
      <c r="AI58" s="16">
        <v>28</v>
      </c>
      <c r="AJ58" s="16">
        <v>52</v>
      </c>
      <c r="AK58" s="15">
        <f t="shared" si="13"/>
        <v>80</v>
      </c>
      <c r="AL58" s="14">
        <f>AK58*94</f>
        <v>7520</v>
      </c>
      <c r="AN58" s="19" t="s">
        <v>7</v>
      </c>
      <c r="AO58" s="21">
        <f>I64+Q64+Y64+AG64+AK64</f>
        <v>9326</v>
      </c>
      <c r="AP58" s="11">
        <f>AO59/AO58</f>
        <v>92.411752090928587</v>
      </c>
      <c r="AS58">
        <f>ABRIL!AO58-SEPTIEMBRE!AO58</f>
        <v>1103</v>
      </c>
    </row>
    <row r="59" spans="2:45" ht="15.6" x14ac:dyDescent="0.3">
      <c r="B59" s="17" t="s">
        <v>6</v>
      </c>
      <c r="C59" s="16"/>
      <c r="D59" s="16"/>
      <c r="E59" s="16"/>
      <c r="F59" s="16"/>
      <c r="G59" s="16">
        <v>2</v>
      </c>
      <c r="H59" s="16">
        <v>1</v>
      </c>
      <c r="I59" s="15">
        <f>SUM(C59:H59)</f>
        <v>3</v>
      </c>
      <c r="J59" s="14">
        <f>I59*77</f>
        <v>231</v>
      </c>
      <c r="K59" s="16">
        <v>1</v>
      </c>
      <c r="L59" s="16">
        <v>5</v>
      </c>
      <c r="M59" s="16">
        <v>2</v>
      </c>
      <c r="N59" s="16">
        <v>1</v>
      </c>
      <c r="O59" s="16"/>
      <c r="P59" s="16"/>
      <c r="Q59" s="15">
        <f t="shared" si="10"/>
        <v>9</v>
      </c>
      <c r="R59" s="14">
        <f>Q59*77.5</f>
        <v>697.5</v>
      </c>
      <c r="S59" s="16">
        <v>1</v>
      </c>
      <c r="T59" s="16">
        <v>6</v>
      </c>
      <c r="U59" s="16">
        <v>30</v>
      </c>
      <c r="V59" s="16">
        <v>2</v>
      </c>
      <c r="W59" s="16"/>
      <c r="X59" s="16">
        <v>2</v>
      </c>
      <c r="Y59" s="15">
        <f t="shared" si="11"/>
        <v>41</v>
      </c>
      <c r="Z59" s="14">
        <f>Y59*77.5</f>
        <v>3177.5</v>
      </c>
      <c r="AA59" s="16">
        <v>2</v>
      </c>
      <c r="AB59" s="16" t="s">
        <v>65</v>
      </c>
      <c r="AC59" s="16">
        <v>50</v>
      </c>
      <c r="AD59" s="16" t="s">
        <v>65</v>
      </c>
      <c r="AE59" s="16">
        <v>1</v>
      </c>
      <c r="AF59" s="16">
        <v>1</v>
      </c>
      <c r="AG59" s="15">
        <f t="shared" si="12"/>
        <v>54</v>
      </c>
      <c r="AH59" s="14">
        <f>AG59*78</f>
        <v>4212</v>
      </c>
      <c r="AI59" s="16">
        <v>4</v>
      </c>
      <c r="AJ59" s="16">
        <v>2</v>
      </c>
      <c r="AK59" s="15">
        <f t="shared" si="13"/>
        <v>6</v>
      </c>
      <c r="AL59" s="14">
        <f>AK59*78</f>
        <v>468</v>
      </c>
      <c r="AN59" s="19" t="s">
        <v>3</v>
      </c>
      <c r="AO59" s="18">
        <f>J64+R64+Z64+AH64+AL64</f>
        <v>861832</v>
      </c>
    </row>
    <row r="60" spans="2:45" x14ac:dyDescent="0.3">
      <c r="B60" s="17" t="s">
        <v>4</v>
      </c>
      <c r="C60" s="16">
        <v>51</v>
      </c>
      <c r="D60" s="16">
        <v>58</v>
      </c>
      <c r="E60" s="16"/>
      <c r="F60" s="16"/>
      <c r="G60" s="16">
        <v>82</v>
      </c>
      <c r="H60" s="16">
        <v>28</v>
      </c>
      <c r="I60" s="15">
        <v>82</v>
      </c>
      <c r="J60" s="14">
        <f>I60*97</f>
        <v>7954</v>
      </c>
      <c r="K60" s="16">
        <v>1</v>
      </c>
      <c r="L60" s="16">
        <v>6</v>
      </c>
      <c r="M60" s="16">
        <v>192</v>
      </c>
      <c r="N60" s="16">
        <v>34</v>
      </c>
      <c r="O60" s="16"/>
      <c r="P60" s="16">
        <v>10</v>
      </c>
      <c r="Q60" s="15">
        <f t="shared" si="10"/>
        <v>243</v>
      </c>
      <c r="R60" s="14">
        <f>Q60*98</f>
        <v>23814</v>
      </c>
      <c r="S60" s="16">
        <v>45</v>
      </c>
      <c r="T60" s="16">
        <v>50</v>
      </c>
      <c r="U60" s="16">
        <v>4</v>
      </c>
      <c r="V60" s="16">
        <v>90</v>
      </c>
      <c r="W60" s="16">
        <v>44</v>
      </c>
      <c r="X60" s="16">
        <v>35</v>
      </c>
      <c r="Y60" s="15">
        <f t="shared" si="11"/>
        <v>268</v>
      </c>
      <c r="Z60" s="14">
        <f>Y60*98</f>
        <v>26264</v>
      </c>
      <c r="AA60" s="16">
        <v>4</v>
      </c>
      <c r="AB60" s="16">
        <v>55</v>
      </c>
      <c r="AC60" s="16">
        <v>170</v>
      </c>
      <c r="AD60" s="16">
        <v>14</v>
      </c>
      <c r="AE60" s="16">
        <v>105</v>
      </c>
      <c r="AF60" s="16">
        <v>3</v>
      </c>
      <c r="AG60" s="15">
        <f t="shared" si="12"/>
        <v>351</v>
      </c>
      <c r="AH60" s="14">
        <f>AG60*98</f>
        <v>34398</v>
      </c>
      <c r="AI60" s="16">
        <v>23</v>
      </c>
      <c r="AJ60" s="16">
        <v>18</v>
      </c>
      <c r="AK60" s="15">
        <f t="shared" si="13"/>
        <v>41</v>
      </c>
      <c r="AL60" s="14">
        <f>AK60*98</f>
        <v>4018</v>
      </c>
    </row>
    <row r="61" spans="2:45" ht="15.6" x14ac:dyDescent="0.3">
      <c r="B61" s="17" t="s">
        <v>5</v>
      </c>
      <c r="C61" s="16"/>
      <c r="D61" s="16">
        <v>3</v>
      </c>
      <c r="E61" s="16"/>
      <c r="F61" s="16"/>
      <c r="G61" s="16">
        <v>1</v>
      </c>
      <c r="H61" s="16"/>
      <c r="I61" s="15">
        <f>SUM(C61:H61)</f>
        <v>4</v>
      </c>
      <c r="J61" s="14">
        <f>I61*89</f>
        <v>356</v>
      </c>
      <c r="K61" s="16"/>
      <c r="L61" s="16"/>
      <c r="M61" s="16">
        <v>1</v>
      </c>
      <c r="N61" s="16"/>
      <c r="O61" s="16"/>
      <c r="P61" s="16"/>
      <c r="Q61" s="15">
        <f t="shared" si="10"/>
        <v>1</v>
      </c>
      <c r="R61" s="14">
        <f>Q61*90</f>
        <v>90</v>
      </c>
      <c r="S61" s="16"/>
      <c r="T61" s="16"/>
      <c r="U61" s="16">
        <v>7</v>
      </c>
      <c r="V61" s="16"/>
      <c r="W61" s="16"/>
      <c r="X61" s="16"/>
      <c r="Y61" s="15">
        <f t="shared" si="11"/>
        <v>7</v>
      </c>
      <c r="Z61" s="14">
        <f>Y61*90</f>
        <v>630</v>
      </c>
      <c r="AA61" s="16"/>
      <c r="AB61" s="16"/>
      <c r="AC61" s="16"/>
      <c r="AD61" s="16">
        <v>80</v>
      </c>
      <c r="AE61" s="16">
        <v>1</v>
      </c>
      <c r="AF61" s="16"/>
      <c r="AG61" s="15">
        <f t="shared" si="12"/>
        <v>81</v>
      </c>
      <c r="AH61" s="14">
        <f>AG61*80</f>
        <v>6480</v>
      </c>
      <c r="AI61" s="16"/>
      <c r="AJ61" s="16"/>
      <c r="AK61" s="15">
        <f t="shared" si="13"/>
        <v>0</v>
      </c>
      <c r="AL61" s="14">
        <f>AK61*115</f>
        <v>0</v>
      </c>
      <c r="AN61" s="13" t="s">
        <v>4</v>
      </c>
      <c r="AO61" s="12">
        <f>I60+Q60+Y60+AG60+AK60</f>
        <v>985</v>
      </c>
      <c r="AP61" s="11">
        <f>AO62/AO61</f>
        <v>97.91675126903553</v>
      </c>
    </row>
    <row r="62" spans="2:45" ht="15.6" x14ac:dyDescent="0.3">
      <c r="C62" s="10"/>
      <c r="D62" s="10"/>
      <c r="E62" s="10"/>
      <c r="F62" s="10"/>
      <c r="G62" s="10"/>
      <c r="H62" s="10"/>
      <c r="I62" s="9">
        <f>SUM(I56:I61)</f>
        <v>1798</v>
      </c>
      <c r="J62" s="8">
        <f>SUM(J56:J61)</f>
        <v>165125</v>
      </c>
      <c r="K62" s="10"/>
      <c r="L62" s="10"/>
      <c r="M62" s="10"/>
      <c r="N62" s="10"/>
      <c r="O62" s="10"/>
      <c r="P62" s="10"/>
      <c r="Q62" s="9">
        <f>SUM(Q56:Q61)</f>
        <v>1690</v>
      </c>
      <c r="R62" s="8">
        <f>SUM(R56:R61)</f>
        <v>156852.5</v>
      </c>
      <c r="S62" s="10"/>
      <c r="T62" s="10"/>
      <c r="U62" s="10"/>
      <c r="V62" s="10"/>
      <c r="W62" s="10"/>
      <c r="X62" s="10"/>
      <c r="Y62" s="9">
        <f>SUM(Y56:Y61)</f>
        <v>2663</v>
      </c>
      <c r="Z62" s="8">
        <f>SUM(Z56:Z61)</f>
        <v>246038.5</v>
      </c>
      <c r="AA62" s="10"/>
      <c r="AB62" s="10"/>
      <c r="AC62" s="10"/>
      <c r="AD62" s="10"/>
      <c r="AE62" s="10"/>
      <c r="AF62" s="10"/>
      <c r="AG62" s="9">
        <f>SUM(AG56:AG61)</f>
        <v>3529</v>
      </c>
      <c r="AH62" s="8">
        <f>SUM(AH56:AH61)</f>
        <v>328590</v>
      </c>
      <c r="AI62" s="10"/>
      <c r="AJ62" s="10"/>
      <c r="AK62" s="9">
        <f>SUM(AK56:AK61)</f>
        <v>837</v>
      </c>
      <c r="AL62" s="8">
        <f>SUM(AL56:AL61)</f>
        <v>78016</v>
      </c>
      <c r="AN62" s="7" t="s">
        <v>3</v>
      </c>
      <c r="AO62" s="6">
        <f>Z60+J60+R60+AH60+AL60</f>
        <v>96448</v>
      </c>
    </row>
    <row r="64" spans="2:45" ht="15.6" x14ac:dyDescent="0.3">
      <c r="I64" s="4">
        <f>I56+I57+I58</f>
        <v>1709</v>
      </c>
      <c r="J64" s="3">
        <f>J56+J57+J58</f>
        <v>156584</v>
      </c>
      <c r="Q64" s="4">
        <f>Q56+Q57+Q58</f>
        <v>1437</v>
      </c>
      <c r="R64" s="3">
        <f>R56+R57+R58</f>
        <v>132251</v>
      </c>
      <c r="Y64" s="4">
        <f>Y56+Y57+Y58</f>
        <v>2347</v>
      </c>
      <c r="Z64" s="3">
        <f>Z56+Z57+Z58</f>
        <v>215967</v>
      </c>
      <c r="AG64" s="4">
        <f>AG56+AG57+AG58</f>
        <v>3043</v>
      </c>
      <c r="AH64" s="3">
        <f>AH56+AH57+AH58</f>
        <v>283500</v>
      </c>
      <c r="AK64" s="4">
        <f>AK56+AK57+AK58</f>
        <v>790</v>
      </c>
      <c r="AL64" s="3">
        <f>AL56+AL57+AL58</f>
        <v>73530</v>
      </c>
    </row>
    <row r="66" spans="40:41" x14ac:dyDescent="0.3">
      <c r="AN66" s="2" t="s">
        <v>1</v>
      </c>
      <c r="AO66" s="1">
        <f>AO62+AO59+AO20</f>
        <v>1449146</v>
      </c>
    </row>
  </sheetData>
  <mergeCells count="2">
    <mergeCell ref="AS3:AT3"/>
    <mergeCell ref="AN24:AO24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A965-5678-431C-8177-578DD526D17E}">
  <dimension ref="B3:AU66"/>
  <sheetViews>
    <sheetView zoomScale="110" zoomScaleNormal="110" workbookViewId="0">
      <pane xSplit="2" ySplit="3" topLeftCell="AE4" activePane="bottomRight" state="frozen"/>
      <selection activeCell="O60" sqref="O60"/>
      <selection pane="topRight" activeCell="O60" sqref="O60"/>
      <selection pane="bottomLeft" activeCell="O60" sqref="O60"/>
      <selection pane="bottomRight" activeCell="A13" sqref="A13:XFD13"/>
    </sheetView>
  </sheetViews>
  <sheetFormatPr baseColWidth="10" defaultRowHeight="14.4" x14ac:dyDescent="0.3"/>
  <cols>
    <col min="1" max="1" width="5.6640625" customWidth="1"/>
    <col min="2" max="2" width="18.33203125" customWidth="1"/>
    <col min="7" max="7" width="13.33203125" customWidth="1"/>
    <col min="8" max="8" width="16.109375" customWidth="1"/>
    <col min="15" max="15" width="13.33203125" customWidth="1"/>
    <col min="16" max="16" width="16.109375" customWidth="1"/>
    <col min="23" max="23" width="13.33203125" customWidth="1"/>
    <col min="24" max="24" width="20.21875" customWidth="1"/>
    <col min="25" max="26" width="11.5546875" customWidth="1"/>
    <col min="31" max="31" width="13.33203125" customWidth="1"/>
    <col min="32" max="32" width="20.21875" customWidth="1"/>
    <col min="38" max="38" width="13.33203125" customWidth="1"/>
    <col min="39" max="39" width="20.21875" customWidth="1"/>
    <col min="40" max="40" width="6.5546875" customWidth="1"/>
    <col min="41" max="41" width="15.33203125" customWidth="1"/>
    <col min="42" max="42" width="19.109375" customWidth="1"/>
    <col min="43" max="43" width="13.88671875" customWidth="1"/>
    <col min="45" max="45" width="9.77734375" customWidth="1"/>
    <col min="46" max="46" width="17.109375" customWidth="1"/>
    <col min="47" max="47" width="19.5546875" customWidth="1"/>
  </cols>
  <sheetData>
    <row r="3" spans="2:47" s="22" customFormat="1" ht="13.8" customHeight="1" x14ac:dyDescent="0.3">
      <c r="B3" s="25" t="s">
        <v>13</v>
      </c>
      <c r="C3" s="24">
        <v>45931</v>
      </c>
      <c r="D3" s="24">
        <v>45932</v>
      </c>
      <c r="E3" s="24">
        <v>45933</v>
      </c>
      <c r="F3" s="24">
        <v>45934</v>
      </c>
      <c r="G3" s="23" t="s">
        <v>63</v>
      </c>
      <c r="H3" s="23" t="s">
        <v>11</v>
      </c>
      <c r="I3" s="24">
        <v>45936</v>
      </c>
      <c r="J3" s="24">
        <v>45937</v>
      </c>
      <c r="K3" s="24">
        <v>45938</v>
      </c>
      <c r="L3" s="24">
        <v>45939</v>
      </c>
      <c r="M3" s="24">
        <v>45940</v>
      </c>
      <c r="N3" s="24">
        <v>45941</v>
      </c>
      <c r="O3" s="23" t="s">
        <v>63</v>
      </c>
      <c r="P3" s="23" t="s">
        <v>11</v>
      </c>
      <c r="Q3" s="24">
        <v>45943</v>
      </c>
      <c r="R3" s="24">
        <v>45944</v>
      </c>
      <c r="S3" s="24">
        <v>45945</v>
      </c>
      <c r="T3" s="24">
        <v>45946</v>
      </c>
      <c r="U3" s="24">
        <v>45947</v>
      </c>
      <c r="V3" s="24">
        <v>45948</v>
      </c>
      <c r="W3" s="23" t="s">
        <v>63</v>
      </c>
      <c r="X3" s="23" t="s">
        <v>11</v>
      </c>
      <c r="Y3" s="24">
        <v>45950</v>
      </c>
      <c r="Z3" s="24">
        <v>45951</v>
      </c>
      <c r="AA3" s="24">
        <v>45952</v>
      </c>
      <c r="AB3" s="24">
        <v>45953</v>
      </c>
      <c r="AC3" s="24">
        <v>45954</v>
      </c>
      <c r="AD3" s="24">
        <v>45955</v>
      </c>
      <c r="AE3" s="23" t="s">
        <v>63</v>
      </c>
      <c r="AF3" s="23" t="s">
        <v>11</v>
      </c>
      <c r="AG3" s="24">
        <v>45957</v>
      </c>
      <c r="AH3" s="24">
        <v>45958</v>
      </c>
      <c r="AI3" s="24">
        <v>45959</v>
      </c>
      <c r="AJ3" s="24">
        <v>45960</v>
      </c>
      <c r="AK3" s="24">
        <v>45961</v>
      </c>
      <c r="AL3" s="23" t="s">
        <v>63</v>
      </c>
      <c r="AM3" s="23" t="s">
        <v>11</v>
      </c>
      <c r="AT3" s="68" t="s">
        <v>74</v>
      </c>
      <c r="AU3" s="69"/>
    </row>
    <row r="4" spans="2:47" ht="15.6" customHeight="1" x14ac:dyDescent="0.3">
      <c r="B4" s="17" t="s">
        <v>62</v>
      </c>
      <c r="C4" s="16">
        <v>10</v>
      </c>
      <c r="D4" s="16">
        <v>5</v>
      </c>
      <c r="E4" s="16">
        <v>20</v>
      </c>
      <c r="F4" s="16">
        <v>25</v>
      </c>
      <c r="G4" s="15">
        <f>SUM(C4:F4)</f>
        <v>60</v>
      </c>
      <c r="H4" s="14">
        <f>G4*60</f>
        <v>3600</v>
      </c>
      <c r="I4" s="16">
        <v>30</v>
      </c>
      <c r="J4" s="16">
        <v>64</v>
      </c>
      <c r="K4" s="62"/>
      <c r="L4" s="16">
        <v>20</v>
      </c>
      <c r="M4" s="16">
        <v>123</v>
      </c>
      <c r="N4" s="16">
        <v>67</v>
      </c>
      <c r="O4" s="15">
        <f>SUM(I4:N4)</f>
        <v>304</v>
      </c>
      <c r="P4" s="14">
        <f>O4*60</f>
        <v>18240</v>
      </c>
      <c r="Q4" s="16">
        <v>52</v>
      </c>
      <c r="R4" s="16">
        <v>37</v>
      </c>
      <c r="S4" s="16">
        <v>9</v>
      </c>
      <c r="T4" s="16">
        <v>10</v>
      </c>
      <c r="U4" s="16">
        <v>25</v>
      </c>
      <c r="V4" s="16" t="s">
        <v>65</v>
      </c>
      <c r="W4" s="15">
        <f>SUM(Q4:V4)</f>
        <v>133</v>
      </c>
      <c r="X4" s="14">
        <f>W4*60</f>
        <v>7980</v>
      </c>
      <c r="Y4" s="67">
        <v>26</v>
      </c>
      <c r="Z4" s="16" t="s">
        <v>65</v>
      </c>
      <c r="AA4" s="16">
        <v>35</v>
      </c>
      <c r="AB4" s="16">
        <v>29</v>
      </c>
      <c r="AC4" s="16">
        <v>20</v>
      </c>
      <c r="AD4" s="16">
        <v>10</v>
      </c>
      <c r="AE4" s="15">
        <f>SUM(Y4:AD4)</f>
        <v>120</v>
      </c>
      <c r="AF4" s="14">
        <f>AE4*60</f>
        <v>7200</v>
      </c>
      <c r="AG4" s="16">
        <v>5</v>
      </c>
      <c r="AH4" s="16">
        <v>35</v>
      </c>
      <c r="AI4" s="16" t="s">
        <v>65</v>
      </c>
      <c r="AJ4" s="16">
        <v>36</v>
      </c>
      <c r="AK4" s="16">
        <v>38</v>
      </c>
      <c r="AL4" s="15">
        <f>SUM(AG4:AK4)</f>
        <v>114</v>
      </c>
      <c r="AM4" s="14">
        <f>AL4*60</f>
        <v>6840</v>
      </c>
      <c r="AT4" s="60" t="s">
        <v>48</v>
      </c>
      <c r="AU4" s="48">
        <f>AP19</f>
        <v>5522</v>
      </c>
    </row>
    <row r="5" spans="2:47" ht="15.6" x14ac:dyDescent="0.3">
      <c r="B5" s="17" t="s">
        <v>61</v>
      </c>
      <c r="C5" s="16">
        <v>21</v>
      </c>
      <c r="D5" s="16">
        <v>40</v>
      </c>
      <c r="E5" s="16">
        <v>45</v>
      </c>
      <c r="F5" s="16">
        <v>15</v>
      </c>
      <c r="G5" s="15">
        <f t="shared" ref="G5:G18" si="0">SUM(C5:F5)</f>
        <v>121</v>
      </c>
      <c r="H5" s="14">
        <f>G5*60</f>
        <v>7260</v>
      </c>
      <c r="I5" s="16">
        <v>10</v>
      </c>
      <c r="J5" s="16">
        <v>14</v>
      </c>
      <c r="K5" s="62"/>
      <c r="L5" s="16">
        <v>20</v>
      </c>
      <c r="M5" s="16">
        <v>61</v>
      </c>
      <c r="N5" s="16">
        <v>21</v>
      </c>
      <c r="O5" s="15">
        <f t="shared" ref="O5:O18" si="1">SUM(I5:N5)</f>
        <v>126</v>
      </c>
      <c r="P5" s="14">
        <f>O5*60</f>
        <v>7560</v>
      </c>
      <c r="Q5" s="16">
        <v>23</v>
      </c>
      <c r="R5" s="16">
        <v>22</v>
      </c>
      <c r="S5" s="16">
        <v>4</v>
      </c>
      <c r="T5" s="16">
        <v>20</v>
      </c>
      <c r="U5" s="16" t="s">
        <v>65</v>
      </c>
      <c r="V5" s="16" t="s">
        <v>65</v>
      </c>
      <c r="W5" s="15">
        <f t="shared" ref="W5:W18" si="2">SUM(Q5:V5)</f>
        <v>69</v>
      </c>
      <c r="X5" s="14">
        <f>W5*60</f>
        <v>4140</v>
      </c>
      <c r="Y5" s="16">
        <v>20</v>
      </c>
      <c r="Z5" s="16" t="s">
        <v>65</v>
      </c>
      <c r="AA5" s="16">
        <v>35</v>
      </c>
      <c r="AB5" s="16">
        <v>36</v>
      </c>
      <c r="AC5" s="16">
        <v>10</v>
      </c>
      <c r="AD5" s="16">
        <v>20</v>
      </c>
      <c r="AE5" s="15">
        <f t="shared" ref="AE5:AE18" si="3">SUM(Y5:AD5)</f>
        <v>121</v>
      </c>
      <c r="AF5" s="14">
        <f>AE5*60</f>
        <v>7260</v>
      </c>
      <c r="AG5" s="16">
        <v>78</v>
      </c>
      <c r="AH5" s="16">
        <v>22</v>
      </c>
      <c r="AI5" s="16" t="s">
        <v>65</v>
      </c>
      <c r="AJ5" s="16">
        <v>21</v>
      </c>
      <c r="AK5" s="16">
        <v>30</v>
      </c>
      <c r="AL5" s="15">
        <f t="shared" ref="AL5:AL18" si="4">SUM(AG5:AK5)</f>
        <v>151</v>
      </c>
      <c r="AM5" s="14">
        <f>AL5*60</f>
        <v>9060</v>
      </c>
      <c r="AT5" s="60" t="s">
        <v>3</v>
      </c>
      <c r="AU5" s="46">
        <f>AP20</f>
        <v>400151</v>
      </c>
    </row>
    <row r="6" spans="2:47" ht="15.6" x14ac:dyDescent="0.3">
      <c r="B6" s="17" t="s">
        <v>60</v>
      </c>
      <c r="C6" s="16" t="s">
        <v>65</v>
      </c>
      <c r="D6" s="16" t="s">
        <v>65</v>
      </c>
      <c r="E6" s="16" t="s">
        <v>65</v>
      </c>
      <c r="F6" s="16">
        <v>10</v>
      </c>
      <c r="G6" s="15">
        <f t="shared" si="0"/>
        <v>10</v>
      </c>
      <c r="H6" s="14">
        <f>G6*61</f>
        <v>610</v>
      </c>
      <c r="I6" s="16">
        <v>5</v>
      </c>
      <c r="J6" s="16">
        <v>10</v>
      </c>
      <c r="K6" s="62"/>
      <c r="L6" s="16">
        <v>1</v>
      </c>
      <c r="M6" s="16">
        <v>18</v>
      </c>
      <c r="N6" s="16">
        <v>16</v>
      </c>
      <c r="O6" s="15">
        <f t="shared" si="1"/>
        <v>50</v>
      </c>
      <c r="P6" s="14">
        <f>O6*61</f>
        <v>3050</v>
      </c>
      <c r="Q6" s="16" t="s">
        <v>65</v>
      </c>
      <c r="R6" s="16">
        <v>5</v>
      </c>
      <c r="S6" s="16">
        <v>20</v>
      </c>
      <c r="T6" s="16" t="s">
        <v>65</v>
      </c>
      <c r="U6" s="16" t="s">
        <v>65</v>
      </c>
      <c r="V6" s="16" t="s">
        <v>65</v>
      </c>
      <c r="W6" s="15">
        <f t="shared" si="2"/>
        <v>25</v>
      </c>
      <c r="X6" s="14">
        <f>W6*61</f>
        <v>1525</v>
      </c>
      <c r="Y6" s="16">
        <v>3</v>
      </c>
      <c r="Z6" s="16" t="s">
        <v>65</v>
      </c>
      <c r="AA6" s="16">
        <v>1</v>
      </c>
      <c r="AB6" s="16">
        <v>25</v>
      </c>
      <c r="AC6" s="16">
        <v>45</v>
      </c>
      <c r="AD6" s="16">
        <v>8</v>
      </c>
      <c r="AE6" s="15">
        <f t="shared" si="3"/>
        <v>82</v>
      </c>
      <c r="AF6" s="14">
        <f>AE6*61</f>
        <v>5002</v>
      </c>
      <c r="AG6" s="16">
        <v>1</v>
      </c>
      <c r="AH6" s="16">
        <v>2</v>
      </c>
      <c r="AI6" s="16" t="s">
        <v>65</v>
      </c>
      <c r="AJ6" s="16">
        <v>10</v>
      </c>
      <c r="AK6" s="16">
        <v>5</v>
      </c>
      <c r="AL6" s="15">
        <f t="shared" si="4"/>
        <v>18</v>
      </c>
      <c r="AM6" s="14">
        <f>AL6*61</f>
        <v>1098</v>
      </c>
      <c r="AT6" s="59" t="s">
        <v>15</v>
      </c>
      <c r="AU6" s="37">
        <f>AP48</f>
        <v>980</v>
      </c>
    </row>
    <row r="7" spans="2:47" ht="15.6" x14ac:dyDescent="0.3">
      <c r="B7" s="17" t="s">
        <v>59</v>
      </c>
      <c r="C7" s="16">
        <v>15</v>
      </c>
      <c r="D7" s="16">
        <v>4</v>
      </c>
      <c r="E7" s="16" t="s">
        <v>65</v>
      </c>
      <c r="F7" s="16">
        <v>10</v>
      </c>
      <c r="G7" s="15">
        <f t="shared" si="0"/>
        <v>29</v>
      </c>
      <c r="H7" s="14">
        <f>G7*60</f>
        <v>1740</v>
      </c>
      <c r="I7" s="16">
        <v>15</v>
      </c>
      <c r="J7" s="16">
        <v>10</v>
      </c>
      <c r="K7" s="62"/>
      <c r="L7" s="16" t="s">
        <v>65</v>
      </c>
      <c r="M7" s="16">
        <v>66</v>
      </c>
      <c r="N7" s="16">
        <v>39</v>
      </c>
      <c r="O7" s="15">
        <f t="shared" si="1"/>
        <v>130</v>
      </c>
      <c r="P7" s="14">
        <f>O7*60</f>
        <v>7800</v>
      </c>
      <c r="Q7" s="16">
        <v>11</v>
      </c>
      <c r="R7" s="16">
        <v>14</v>
      </c>
      <c r="S7" s="16" t="s">
        <v>65</v>
      </c>
      <c r="T7" s="16">
        <v>28</v>
      </c>
      <c r="U7" s="16" t="s">
        <v>65</v>
      </c>
      <c r="V7" s="16" t="s">
        <v>65</v>
      </c>
      <c r="W7" s="15">
        <f t="shared" si="2"/>
        <v>53</v>
      </c>
      <c r="X7" s="14">
        <f>W7*60</f>
        <v>3180</v>
      </c>
      <c r="Y7" s="16">
        <v>5</v>
      </c>
      <c r="Z7" s="16" t="s">
        <v>65</v>
      </c>
      <c r="AA7" s="16">
        <v>20</v>
      </c>
      <c r="AB7" s="16">
        <v>24</v>
      </c>
      <c r="AC7" s="16">
        <v>11</v>
      </c>
      <c r="AD7" s="16">
        <v>6</v>
      </c>
      <c r="AE7" s="15">
        <f t="shared" si="3"/>
        <v>66</v>
      </c>
      <c r="AF7" s="14">
        <f>AE7*60</f>
        <v>3960</v>
      </c>
      <c r="AG7" s="16">
        <v>2</v>
      </c>
      <c r="AH7" s="16">
        <v>15</v>
      </c>
      <c r="AI7" s="16" t="s">
        <v>65</v>
      </c>
      <c r="AJ7" s="16">
        <v>35</v>
      </c>
      <c r="AK7" s="16">
        <v>10</v>
      </c>
      <c r="AL7" s="15">
        <f t="shared" si="4"/>
        <v>62</v>
      </c>
      <c r="AM7" s="14">
        <f>AL7*60</f>
        <v>3720</v>
      </c>
      <c r="AT7" s="59" t="s">
        <v>3</v>
      </c>
      <c r="AU7" s="34">
        <f>AP49</f>
        <v>90834</v>
      </c>
    </row>
    <row r="8" spans="2:47" ht="15.6" x14ac:dyDescent="0.3">
      <c r="B8" s="17" t="s">
        <v>58</v>
      </c>
      <c r="C8" s="16" t="s">
        <v>65</v>
      </c>
      <c r="D8" s="16">
        <v>22</v>
      </c>
      <c r="E8" s="16">
        <v>5</v>
      </c>
      <c r="F8" s="16">
        <v>10</v>
      </c>
      <c r="G8" s="15">
        <f t="shared" si="0"/>
        <v>37</v>
      </c>
      <c r="H8" s="14">
        <f>G8*60</f>
        <v>2220</v>
      </c>
      <c r="I8" s="16">
        <v>5</v>
      </c>
      <c r="J8" s="16">
        <v>5</v>
      </c>
      <c r="K8" s="62"/>
      <c r="L8" s="16" t="s">
        <v>65</v>
      </c>
      <c r="M8" s="16">
        <v>55</v>
      </c>
      <c r="N8" s="16">
        <v>49</v>
      </c>
      <c r="O8" s="15">
        <f t="shared" si="1"/>
        <v>114</v>
      </c>
      <c r="P8" s="14">
        <f>O8*60</f>
        <v>6840</v>
      </c>
      <c r="Q8" s="16">
        <v>13</v>
      </c>
      <c r="R8" s="16">
        <v>6</v>
      </c>
      <c r="S8" s="16">
        <v>13</v>
      </c>
      <c r="T8" s="16">
        <v>32</v>
      </c>
      <c r="U8" s="16">
        <v>5</v>
      </c>
      <c r="V8" s="16" t="s">
        <v>65</v>
      </c>
      <c r="W8" s="15">
        <f t="shared" si="2"/>
        <v>69</v>
      </c>
      <c r="X8" s="14">
        <f>W8*60</f>
        <v>4140</v>
      </c>
      <c r="Y8" s="16">
        <v>2</v>
      </c>
      <c r="Z8" s="16" t="s">
        <v>65</v>
      </c>
      <c r="AA8" s="16">
        <v>15</v>
      </c>
      <c r="AB8" s="16">
        <v>15</v>
      </c>
      <c r="AC8" s="16" t="s">
        <v>65</v>
      </c>
      <c r="AD8" s="16">
        <v>5</v>
      </c>
      <c r="AE8" s="15">
        <f t="shared" si="3"/>
        <v>37</v>
      </c>
      <c r="AF8" s="14">
        <f>AE8*60</f>
        <v>2220</v>
      </c>
      <c r="AG8" s="16">
        <v>17</v>
      </c>
      <c r="AH8" s="16">
        <v>5</v>
      </c>
      <c r="AI8" s="16" t="s">
        <v>65</v>
      </c>
      <c r="AJ8" s="16">
        <v>13</v>
      </c>
      <c r="AK8" s="16">
        <v>30</v>
      </c>
      <c r="AL8" s="15">
        <f t="shared" si="4"/>
        <v>65</v>
      </c>
      <c r="AM8" s="14">
        <f>AL8*60</f>
        <v>3900</v>
      </c>
      <c r="AT8" s="58" t="s">
        <v>14</v>
      </c>
      <c r="AU8" s="31">
        <f>AP51</f>
        <v>507</v>
      </c>
    </row>
    <row r="9" spans="2:47" ht="15.6" x14ac:dyDescent="0.3">
      <c r="B9" s="17" t="s">
        <v>57</v>
      </c>
      <c r="C9" s="16" t="s">
        <v>65</v>
      </c>
      <c r="D9" s="16">
        <v>5</v>
      </c>
      <c r="E9" s="16">
        <v>10</v>
      </c>
      <c r="F9" s="16" t="s">
        <v>65</v>
      </c>
      <c r="G9" s="15">
        <f t="shared" si="0"/>
        <v>15</v>
      </c>
      <c r="H9" s="14">
        <f>G9*60</f>
        <v>900</v>
      </c>
      <c r="I9" s="16">
        <v>5</v>
      </c>
      <c r="J9" s="16">
        <v>2</v>
      </c>
      <c r="K9" s="62"/>
      <c r="L9" s="16">
        <v>2</v>
      </c>
      <c r="M9" s="16">
        <v>14</v>
      </c>
      <c r="N9" s="16">
        <v>11</v>
      </c>
      <c r="O9" s="15">
        <f t="shared" si="1"/>
        <v>34</v>
      </c>
      <c r="P9" s="14">
        <f>O9*60</f>
        <v>2040</v>
      </c>
      <c r="Q9" s="16" t="s">
        <v>65</v>
      </c>
      <c r="R9" s="16">
        <v>5</v>
      </c>
      <c r="S9" s="16">
        <v>7</v>
      </c>
      <c r="T9" s="16" t="s">
        <v>65</v>
      </c>
      <c r="U9" s="16">
        <v>10</v>
      </c>
      <c r="V9" s="16" t="s">
        <v>65</v>
      </c>
      <c r="W9" s="15">
        <f t="shared" si="2"/>
        <v>22</v>
      </c>
      <c r="X9" s="14">
        <f>W9*60</f>
        <v>1320</v>
      </c>
      <c r="Y9" s="16">
        <v>26</v>
      </c>
      <c r="Z9" s="16">
        <v>15</v>
      </c>
      <c r="AA9" s="16" t="s">
        <v>65</v>
      </c>
      <c r="AB9" s="16">
        <v>30</v>
      </c>
      <c r="AC9" s="16">
        <v>5</v>
      </c>
      <c r="AD9" s="16">
        <v>5</v>
      </c>
      <c r="AE9" s="15">
        <f t="shared" si="3"/>
        <v>81</v>
      </c>
      <c r="AF9" s="14">
        <f>AE9*60</f>
        <v>4860</v>
      </c>
      <c r="AG9" s="16">
        <v>8</v>
      </c>
      <c r="AH9" s="16">
        <v>10</v>
      </c>
      <c r="AI9" s="16" t="s">
        <v>65</v>
      </c>
      <c r="AJ9" s="16" t="s">
        <v>65</v>
      </c>
      <c r="AK9" s="16">
        <v>3</v>
      </c>
      <c r="AL9" s="15">
        <f t="shared" si="4"/>
        <v>21</v>
      </c>
      <c r="AM9" s="14">
        <f>AL9*60</f>
        <v>1260</v>
      </c>
      <c r="AT9" s="58" t="s">
        <v>3</v>
      </c>
      <c r="AU9" s="26">
        <f>AP52</f>
        <v>26364</v>
      </c>
    </row>
    <row r="10" spans="2:47" ht="15.6" x14ac:dyDescent="0.3">
      <c r="B10" s="17" t="s">
        <v>56</v>
      </c>
      <c r="C10" s="16" t="s">
        <v>65</v>
      </c>
      <c r="D10" s="16">
        <v>1</v>
      </c>
      <c r="E10" s="16">
        <v>20</v>
      </c>
      <c r="F10" s="16">
        <v>2</v>
      </c>
      <c r="G10" s="15">
        <f t="shared" si="0"/>
        <v>23</v>
      </c>
      <c r="H10" s="14">
        <f>G10*60</f>
        <v>1380</v>
      </c>
      <c r="I10" s="16">
        <v>20</v>
      </c>
      <c r="J10" s="16">
        <v>20</v>
      </c>
      <c r="K10" s="62"/>
      <c r="L10" s="16" t="s">
        <v>65</v>
      </c>
      <c r="M10" s="16">
        <v>10</v>
      </c>
      <c r="N10" s="16">
        <v>36</v>
      </c>
      <c r="O10" s="15">
        <f t="shared" si="1"/>
        <v>86</v>
      </c>
      <c r="P10" s="14">
        <f>O10*60</f>
        <v>5160</v>
      </c>
      <c r="Q10" s="16">
        <v>15</v>
      </c>
      <c r="R10" s="16">
        <v>10</v>
      </c>
      <c r="S10" s="16">
        <v>8</v>
      </c>
      <c r="T10" s="16" t="s">
        <v>65</v>
      </c>
      <c r="U10" s="16">
        <v>10</v>
      </c>
      <c r="V10" s="16" t="s">
        <v>65</v>
      </c>
      <c r="W10" s="15">
        <f t="shared" si="2"/>
        <v>43</v>
      </c>
      <c r="X10" s="14">
        <f>W10*60</f>
        <v>2580</v>
      </c>
      <c r="Y10" s="16">
        <v>29</v>
      </c>
      <c r="Z10" s="16">
        <v>7</v>
      </c>
      <c r="AA10" s="16">
        <v>2</v>
      </c>
      <c r="AB10" s="16" t="s">
        <v>65</v>
      </c>
      <c r="AC10" s="16">
        <v>19</v>
      </c>
      <c r="AD10" s="16">
        <v>7</v>
      </c>
      <c r="AE10" s="15">
        <f t="shared" si="3"/>
        <v>64</v>
      </c>
      <c r="AF10" s="14">
        <f>AE10*60</f>
        <v>3840</v>
      </c>
      <c r="AG10" s="16">
        <v>1</v>
      </c>
      <c r="AH10" s="16">
        <v>16</v>
      </c>
      <c r="AI10" s="16" t="s">
        <v>65</v>
      </c>
      <c r="AJ10" s="16">
        <v>6</v>
      </c>
      <c r="AK10" s="16" t="s">
        <v>65</v>
      </c>
      <c r="AL10" s="15">
        <f t="shared" si="4"/>
        <v>23</v>
      </c>
      <c r="AM10" s="14">
        <f>AL10*60</f>
        <v>1380</v>
      </c>
      <c r="AT10" s="57" t="s">
        <v>7</v>
      </c>
      <c r="AU10" s="21">
        <f>AP58</f>
        <v>11184</v>
      </c>
    </row>
    <row r="11" spans="2:47" ht="15.6" x14ac:dyDescent="0.3">
      <c r="B11" s="17" t="s">
        <v>55</v>
      </c>
      <c r="C11" s="16" t="s">
        <v>65</v>
      </c>
      <c r="D11" s="16" t="s">
        <v>65</v>
      </c>
      <c r="E11" s="16">
        <v>2</v>
      </c>
      <c r="F11" s="16" t="s">
        <v>65</v>
      </c>
      <c r="G11" s="15">
        <f t="shared" si="0"/>
        <v>2</v>
      </c>
      <c r="H11" s="14">
        <f>G11*65</f>
        <v>130</v>
      </c>
      <c r="I11" s="16">
        <v>1</v>
      </c>
      <c r="J11" s="16">
        <v>11</v>
      </c>
      <c r="K11" s="62"/>
      <c r="L11" s="16">
        <v>1</v>
      </c>
      <c r="M11" s="16">
        <v>6</v>
      </c>
      <c r="N11" s="16" t="s">
        <v>65</v>
      </c>
      <c r="O11" s="15">
        <f t="shared" si="1"/>
        <v>19</v>
      </c>
      <c r="P11" s="14">
        <f>O11*65</f>
        <v>1235</v>
      </c>
      <c r="Q11" s="16" t="s">
        <v>65</v>
      </c>
      <c r="R11" s="16" t="s">
        <v>65</v>
      </c>
      <c r="S11" s="16" t="s">
        <v>65</v>
      </c>
      <c r="T11" s="16" t="s">
        <v>65</v>
      </c>
      <c r="U11" s="16" t="s">
        <v>65</v>
      </c>
      <c r="V11" s="16" t="s">
        <v>65</v>
      </c>
      <c r="W11" s="15">
        <f t="shared" si="2"/>
        <v>0</v>
      </c>
      <c r="X11" s="14">
        <f>W11*65</f>
        <v>0</v>
      </c>
      <c r="Y11" s="16" t="s">
        <v>65</v>
      </c>
      <c r="Z11" s="16">
        <v>3</v>
      </c>
      <c r="AA11" s="16">
        <v>1</v>
      </c>
      <c r="AB11" s="16" t="s">
        <v>65</v>
      </c>
      <c r="AC11" s="16">
        <v>39</v>
      </c>
      <c r="AD11" s="16">
        <v>10</v>
      </c>
      <c r="AE11" s="15">
        <f t="shared" si="3"/>
        <v>53</v>
      </c>
      <c r="AF11" s="14">
        <f>AE11*65</f>
        <v>3445</v>
      </c>
      <c r="AG11" s="16">
        <v>1</v>
      </c>
      <c r="AH11" s="16" t="s">
        <v>65</v>
      </c>
      <c r="AI11" s="16" t="s">
        <v>65</v>
      </c>
      <c r="AJ11" s="16"/>
      <c r="AK11" s="16" t="s">
        <v>65</v>
      </c>
      <c r="AL11" s="15">
        <f t="shared" si="4"/>
        <v>1</v>
      </c>
      <c r="AM11" s="14">
        <f>AL11*65</f>
        <v>65</v>
      </c>
      <c r="AT11" s="57" t="s">
        <v>3</v>
      </c>
      <c r="AU11" s="18">
        <f>AP59</f>
        <v>1051858</v>
      </c>
    </row>
    <row r="12" spans="2:47" ht="15.6" x14ac:dyDescent="0.3">
      <c r="B12" s="17" t="s">
        <v>54</v>
      </c>
      <c r="C12" s="16" t="s">
        <v>65</v>
      </c>
      <c r="D12" s="16">
        <v>6</v>
      </c>
      <c r="E12" s="16">
        <v>1</v>
      </c>
      <c r="F12" s="16" t="s">
        <v>65</v>
      </c>
      <c r="G12" s="15">
        <f t="shared" si="0"/>
        <v>7</v>
      </c>
      <c r="H12" s="14">
        <f>G12*65</f>
        <v>455</v>
      </c>
      <c r="I12" s="16">
        <v>1</v>
      </c>
      <c r="J12" s="16">
        <v>11</v>
      </c>
      <c r="K12" s="62"/>
      <c r="L12" s="16">
        <v>26</v>
      </c>
      <c r="M12" s="16">
        <v>6</v>
      </c>
      <c r="N12" s="16" t="s">
        <v>65</v>
      </c>
      <c r="O12" s="15">
        <f t="shared" si="1"/>
        <v>44</v>
      </c>
      <c r="P12" s="14">
        <f>O12*65</f>
        <v>2860</v>
      </c>
      <c r="Q12" s="20" t="s">
        <v>65</v>
      </c>
      <c r="R12" s="16" t="s">
        <v>65</v>
      </c>
      <c r="S12" s="16" t="s">
        <v>65</v>
      </c>
      <c r="T12" s="16" t="s">
        <v>65</v>
      </c>
      <c r="U12" s="16" t="s">
        <v>65</v>
      </c>
      <c r="V12" s="16" t="s">
        <v>65</v>
      </c>
      <c r="W12" s="15">
        <f t="shared" si="2"/>
        <v>0</v>
      </c>
      <c r="X12" s="14">
        <f>W12*65</f>
        <v>0</v>
      </c>
      <c r="Y12" s="16" t="s">
        <v>65</v>
      </c>
      <c r="Z12" s="16">
        <v>2</v>
      </c>
      <c r="AA12" s="16">
        <v>1</v>
      </c>
      <c r="AB12" s="16" t="s">
        <v>65</v>
      </c>
      <c r="AC12" s="16">
        <v>1</v>
      </c>
      <c r="AD12" s="16">
        <v>1</v>
      </c>
      <c r="AE12" s="15">
        <f t="shared" si="3"/>
        <v>5</v>
      </c>
      <c r="AF12" s="14">
        <f>AE12*65</f>
        <v>325</v>
      </c>
      <c r="AG12" s="16">
        <v>1</v>
      </c>
      <c r="AH12" s="16" t="s">
        <v>65</v>
      </c>
      <c r="AI12" s="16" t="s">
        <v>65</v>
      </c>
      <c r="AJ12" s="16">
        <v>2</v>
      </c>
      <c r="AK12" s="16">
        <v>2</v>
      </c>
      <c r="AL12" s="15">
        <f t="shared" si="4"/>
        <v>5</v>
      </c>
      <c r="AM12" s="14">
        <f>AL12*65</f>
        <v>325</v>
      </c>
      <c r="AT12" s="56" t="s">
        <v>4</v>
      </c>
      <c r="AU12" s="12">
        <f>AP61</f>
        <v>1895</v>
      </c>
    </row>
    <row r="13" spans="2:47" ht="15.6" x14ac:dyDescent="0.3">
      <c r="B13" s="17" t="s">
        <v>40</v>
      </c>
      <c r="C13" s="16">
        <v>30</v>
      </c>
      <c r="D13" s="16">
        <v>40</v>
      </c>
      <c r="E13" s="16"/>
      <c r="F13" s="16">
        <v>66</v>
      </c>
      <c r="G13" s="15">
        <f t="shared" si="0"/>
        <v>136</v>
      </c>
      <c r="H13" s="14">
        <f>G13*95</f>
        <v>12920</v>
      </c>
      <c r="I13" s="16">
        <v>40</v>
      </c>
      <c r="J13" s="16">
        <v>18</v>
      </c>
      <c r="K13" s="62"/>
      <c r="L13" s="16">
        <v>80</v>
      </c>
      <c r="M13" s="16">
        <v>41</v>
      </c>
      <c r="N13" s="16">
        <v>28</v>
      </c>
      <c r="O13" s="15">
        <f t="shared" si="1"/>
        <v>207</v>
      </c>
      <c r="P13" s="14">
        <f>O13*95</f>
        <v>19665</v>
      </c>
      <c r="Q13" s="16">
        <v>10</v>
      </c>
      <c r="R13" s="16">
        <v>61</v>
      </c>
      <c r="S13" s="16">
        <v>4</v>
      </c>
      <c r="T13" s="16">
        <v>10</v>
      </c>
      <c r="U13" s="16">
        <v>35</v>
      </c>
      <c r="V13" s="16">
        <v>13</v>
      </c>
      <c r="W13" s="15">
        <f t="shared" si="2"/>
        <v>133</v>
      </c>
      <c r="X13" s="14">
        <f>W13*95</f>
        <v>12635</v>
      </c>
      <c r="Y13" s="16">
        <v>52</v>
      </c>
      <c r="Z13" s="16">
        <v>3</v>
      </c>
      <c r="AA13" s="16">
        <v>45</v>
      </c>
      <c r="AB13" s="16">
        <v>36</v>
      </c>
      <c r="AC13" s="16">
        <v>20</v>
      </c>
      <c r="AD13" s="16" t="s">
        <v>65</v>
      </c>
      <c r="AE13" s="15">
        <f t="shared" si="3"/>
        <v>156</v>
      </c>
      <c r="AF13" s="14">
        <f>AE13*95</f>
        <v>14820</v>
      </c>
      <c r="AG13" s="16">
        <v>33</v>
      </c>
      <c r="AH13" s="16">
        <v>15</v>
      </c>
      <c r="AI13" s="16" t="s">
        <v>65</v>
      </c>
      <c r="AJ13" s="16">
        <v>50</v>
      </c>
      <c r="AK13" s="16">
        <v>91</v>
      </c>
      <c r="AL13" s="15">
        <f t="shared" si="4"/>
        <v>189</v>
      </c>
      <c r="AM13" s="14">
        <f>AL13*95</f>
        <v>17955</v>
      </c>
      <c r="AT13" s="55" t="s">
        <v>3</v>
      </c>
      <c r="AU13" s="6">
        <f>AP62</f>
        <v>189500</v>
      </c>
    </row>
    <row r="14" spans="2:47" x14ac:dyDescent="0.3">
      <c r="B14" s="17" t="s">
        <v>53</v>
      </c>
      <c r="C14" s="16">
        <v>15</v>
      </c>
      <c r="D14" s="16">
        <v>10</v>
      </c>
      <c r="E14" s="16"/>
      <c r="F14" s="16">
        <v>15</v>
      </c>
      <c r="G14" s="15">
        <f t="shared" si="0"/>
        <v>40</v>
      </c>
      <c r="H14" s="14">
        <f>G14*105</f>
        <v>4200</v>
      </c>
      <c r="I14" s="16">
        <v>20</v>
      </c>
      <c r="J14" s="16">
        <v>55</v>
      </c>
      <c r="K14" s="62"/>
      <c r="L14" s="16">
        <v>45</v>
      </c>
      <c r="M14" s="16">
        <v>17</v>
      </c>
      <c r="N14" s="16">
        <v>18</v>
      </c>
      <c r="O14" s="15">
        <f>SUM(I14:N14)</f>
        <v>155</v>
      </c>
      <c r="P14" s="14">
        <f>O14*105</f>
        <v>16275</v>
      </c>
      <c r="Q14" s="16">
        <v>18</v>
      </c>
      <c r="R14" s="16" t="s">
        <v>65</v>
      </c>
      <c r="S14" s="16" t="s">
        <v>65</v>
      </c>
      <c r="T14" s="16">
        <v>20</v>
      </c>
      <c r="U14" s="16">
        <v>30</v>
      </c>
      <c r="V14" s="16">
        <v>25</v>
      </c>
      <c r="W14" s="15">
        <f t="shared" si="2"/>
        <v>93</v>
      </c>
      <c r="X14" s="14">
        <f>W14*105</f>
        <v>9765</v>
      </c>
      <c r="Y14" s="16">
        <v>33</v>
      </c>
      <c r="Z14" s="16">
        <v>2</v>
      </c>
      <c r="AA14" s="16">
        <v>16</v>
      </c>
      <c r="AB14" s="16">
        <v>8</v>
      </c>
      <c r="AC14" s="16">
        <v>15</v>
      </c>
      <c r="AD14" s="16" t="s">
        <v>65</v>
      </c>
      <c r="AE14" s="15">
        <f t="shared" si="3"/>
        <v>74</v>
      </c>
      <c r="AF14" s="14">
        <f>AE14*105</f>
        <v>7770</v>
      </c>
      <c r="AG14" s="16">
        <v>14</v>
      </c>
      <c r="AH14" s="16">
        <v>30</v>
      </c>
      <c r="AI14" s="16">
        <v>31</v>
      </c>
      <c r="AJ14" s="16">
        <v>10</v>
      </c>
      <c r="AK14" s="16">
        <v>10</v>
      </c>
      <c r="AL14" s="15">
        <f t="shared" si="4"/>
        <v>95</v>
      </c>
      <c r="AM14" s="14">
        <f>AL14*105</f>
        <v>9975</v>
      </c>
      <c r="AT14" s="10"/>
    </row>
    <row r="15" spans="2:47" ht="15.6" x14ac:dyDescent="0.3">
      <c r="B15" s="17" t="s">
        <v>52</v>
      </c>
      <c r="C15" s="16" t="s">
        <v>65</v>
      </c>
      <c r="D15" s="16"/>
      <c r="E15" s="16">
        <v>5</v>
      </c>
      <c r="F15" s="16"/>
      <c r="G15" s="15">
        <f t="shared" si="0"/>
        <v>5</v>
      </c>
      <c r="H15" s="14">
        <f>G15*110</f>
        <v>550</v>
      </c>
      <c r="I15" s="16" t="s">
        <v>65</v>
      </c>
      <c r="J15" s="16">
        <v>20</v>
      </c>
      <c r="K15" s="62"/>
      <c r="L15" s="16" t="s">
        <v>65</v>
      </c>
      <c r="M15" s="16">
        <v>3</v>
      </c>
      <c r="N15" s="16">
        <v>2</v>
      </c>
      <c r="O15" s="15">
        <f t="shared" si="1"/>
        <v>25</v>
      </c>
      <c r="P15" s="14">
        <f>O15*110</f>
        <v>2750</v>
      </c>
      <c r="Q15" s="16">
        <v>13</v>
      </c>
      <c r="R15" s="16" t="s">
        <v>65</v>
      </c>
      <c r="S15" s="16" t="s">
        <v>65</v>
      </c>
      <c r="T15" s="16">
        <v>10</v>
      </c>
      <c r="U15" s="16">
        <v>5</v>
      </c>
      <c r="V15" s="16" t="s">
        <v>65</v>
      </c>
      <c r="W15" s="15">
        <f t="shared" si="2"/>
        <v>28</v>
      </c>
      <c r="X15" s="14">
        <f>W15*110</f>
        <v>3080</v>
      </c>
      <c r="Y15" s="16">
        <v>16</v>
      </c>
      <c r="Z15" s="16">
        <v>15</v>
      </c>
      <c r="AA15" s="16"/>
      <c r="AB15" s="16" t="s">
        <v>65</v>
      </c>
      <c r="AC15" s="16" t="s">
        <v>65</v>
      </c>
      <c r="AD15" s="16" t="s">
        <v>65</v>
      </c>
      <c r="AE15" s="15">
        <f t="shared" si="3"/>
        <v>31</v>
      </c>
      <c r="AF15" s="14">
        <f>AE15*110</f>
        <v>3410</v>
      </c>
      <c r="AG15" s="16"/>
      <c r="AH15" s="16">
        <v>5</v>
      </c>
      <c r="AI15" s="16" t="s">
        <v>65</v>
      </c>
      <c r="AJ15" s="16">
        <v>5</v>
      </c>
      <c r="AK15" s="16">
        <v>8</v>
      </c>
      <c r="AL15" s="15">
        <f t="shared" si="4"/>
        <v>18</v>
      </c>
      <c r="AM15" s="14">
        <f>AL15*110</f>
        <v>1980</v>
      </c>
      <c r="AT15" s="54" t="s">
        <v>51</v>
      </c>
      <c r="AU15" s="66">
        <v>304190</v>
      </c>
    </row>
    <row r="16" spans="2:47" x14ac:dyDescent="0.3">
      <c r="B16" s="17" t="s">
        <v>50</v>
      </c>
      <c r="C16" s="16" t="s">
        <v>65</v>
      </c>
      <c r="D16" s="16"/>
      <c r="E16" s="16"/>
      <c r="F16" s="16"/>
      <c r="G16" s="15">
        <f t="shared" si="0"/>
        <v>0</v>
      </c>
      <c r="H16" s="14">
        <v>0</v>
      </c>
      <c r="I16" s="20" t="s">
        <v>65</v>
      </c>
      <c r="J16" s="16" t="s">
        <v>65</v>
      </c>
      <c r="K16" s="62"/>
      <c r="L16" s="16"/>
      <c r="M16" s="16">
        <v>12</v>
      </c>
      <c r="N16" s="16">
        <v>13</v>
      </c>
      <c r="O16" s="15">
        <f t="shared" si="1"/>
        <v>25</v>
      </c>
      <c r="P16" s="14">
        <f>O16*70</f>
        <v>1750</v>
      </c>
      <c r="Q16" s="16"/>
      <c r="R16" s="16">
        <v>4</v>
      </c>
      <c r="S16" s="16"/>
      <c r="T16" s="16">
        <v>2</v>
      </c>
      <c r="U16" s="16" t="s">
        <v>65</v>
      </c>
      <c r="V16" s="16" t="s">
        <v>65</v>
      </c>
      <c r="W16" s="15">
        <f t="shared" si="2"/>
        <v>6</v>
      </c>
      <c r="X16" s="14">
        <f>W16*70</f>
        <v>420</v>
      </c>
      <c r="Y16" s="16">
        <v>3</v>
      </c>
      <c r="Z16" s="16">
        <v>17</v>
      </c>
      <c r="AA16" s="16"/>
      <c r="AB16" s="16"/>
      <c r="AC16" s="16" t="s">
        <v>65</v>
      </c>
      <c r="AD16" s="16">
        <v>4</v>
      </c>
      <c r="AE16" s="15">
        <f t="shared" si="3"/>
        <v>24</v>
      </c>
      <c r="AF16" s="14">
        <f>AE16*70</f>
        <v>1680</v>
      </c>
      <c r="AG16" s="16"/>
      <c r="AH16" s="16" t="s">
        <v>65</v>
      </c>
      <c r="AI16" s="16" t="s">
        <v>65</v>
      </c>
      <c r="AJ16" s="16">
        <v>1</v>
      </c>
      <c r="AK16" s="16">
        <v>17</v>
      </c>
      <c r="AL16" s="15">
        <f t="shared" si="4"/>
        <v>18</v>
      </c>
      <c r="AM16" s="14">
        <f>AL16*70</f>
        <v>1260</v>
      </c>
    </row>
    <row r="17" spans="2:44" x14ac:dyDescent="0.3">
      <c r="B17" s="17" t="s">
        <v>28</v>
      </c>
      <c r="C17" s="16" t="s">
        <v>65</v>
      </c>
      <c r="D17" s="16"/>
      <c r="E17" s="16"/>
      <c r="F17" s="16"/>
      <c r="G17" s="15">
        <f t="shared" si="0"/>
        <v>0</v>
      </c>
      <c r="H17" s="14">
        <f>G17*0</f>
        <v>0</v>
      </c>
      <c r="I17" s="16"/>
      <c r="J17" s="16" t="s">
        <v>65</v>
      </c>
      <c r="K17" s="62"/>
      <c r="L17" s="16"/>
      <c r="M17" s="16"/>
      <c r="N17" s="16"/>
      <c r="O17" s="15">
        <f t="shared" si="1"/>
        <v>0</v>
      </c>
      <c r="P17" s="14">
        <f>O17*0</f>
        <v>0</v>
      </c>
      <c r="Q17" s="16"/>
      <c r="R17" s="16"/>
      <c r="S17" s="16" t="s">
        <v>65</v>
      </c>
      <c r="T17" s="16"/>
      <c r="U17" s="16" t="s">
        <v>65</v>
      </c>
      <c r="V17" s="16" t="s">
        <v>65</v>
      </c>
      <c r="W17" s="15">
        <f t="shared" si="2"/>
        <v>0</v>
      </c>
      <c r="X17" s="14">
        <f>W17*0</f>
        <v>0</v>
      </c>
      <c r="Y17" s="16"/>
      <c r="Z17" s="16"/>
      <c r="AA17" s="16"/>
      <c r="AB17" s="16"/>
      <c r="AC17" s="16" t="s">
        <v>65</v>
      </c>
      <c r="AD17" s="16"/>
      <c r="AE17" s="15">
        <f t="shared" si="3"/>
        <v>0</v>
      </c>
      <c r="AF17" s="14">
        <f>AE17*0</f>
        <v>0</v>
      </c>
      <c r="AG17" s="16"/>
      <c r="AH17" s="16" t="s">
        <v>65</v>
      </c>
      <c r="AI17" s="16" t="s">
        <v>65</v>
      </c>
      <c r="AJ17" s="16"/>
      <c r="AK17" s="16" t="s">
        <v>65</v>
      </c>
      <c r="AL17" s="15">
        <f t="shared" si="4"/>
        <v>0</v>
      </c>
      <c r="AM17" s="14">
        <f>AL17*0</f>
        <v>0</v>
      </c>
    </row>
    <row r="18" spans="2:44" x14ac:dyDescent="0.3">
      <c r="B18" s="17" t="s">
        <v>49</v>
      </c>
      <c r="C18" s="16" t="s">
        <v>65</v>
      </c>
      <c r="D18" s="16"/>
      <c r="E18" s="16" t="s">
        <v>65</v>
      </c>
      <c r="F18" s="16"/>
      <c r="G18" s="15">
        <f t="shared" si="0"/>
        <v>0</v>
      </c>
      <c r="H18" s="14">
        <f>G18*0</f>
        <v>0</v>
      </c>
      <c r="I18" s="16" t="s">
        <v>65</v>
      </c>
      <c r="J18" s="16" t="s">
        <v>65</v>
      </c>
      <c r="K18" s="62"/>
      <c r="L18" s="16" t="s">
        <v>65</v>
      </c>
      <c r="M18" s="16" t="s">
        <v>65</v>
      </c>
      <c r="N18" s="16" t="s">
        <v>65</v>
      </c>
      <c r="O18" s="15">
        <f t="shared" si="1"/>
        <v>0</v>
      </c>
      <c r="P18" s="14">
        <f>O18*0</f>
        <v>0</v>
      </c>
      <c r="Q18" s="16" t="s">
        <v>65</v>
      </c>
      <c r="R18" s="16" t="s">
        <v>65</v>
      </c>
      <c r="S18" s="16" t="s">
        <v>65</v>
      </c>
      <c r="T18" s="16" t="s">
        <v>65</v>
      </c>
      <c r="U18" s="16" t="s">
        <v>65</v>
      </c>
      <c r="V18" s="16" t="s">
        <v>65</v>
      </c>
      <c r="W18" s="15">
        <f t="shared" si="2"/>
        <v>0</v>
      </c>
      <c r="X18" s="14">
        <f>W18*0</f>
        <v>0</v>
      </c>
      <c r="Y18" s="16"/>
      <c r="Z18" s="16"/>
      <c r="AA18" s="16"/>
      <c r="AB18" s="16"/>
      <c r="AC18" s="16" t="s">
        <v>65</v>
      </c>
      <c r="AD18" s="16"/>
      <c r="AE18" s="15">
        <f t="shared" si="3"/>
        <v>0</v>
      </c>
      <c r="AF18" s="14">
        <f>AE18*0</f>
        <v>0</v>
      </c>
      <c r="AG18" s="16"/>
      <c r="AH18" s="16">
        <v>40</v>
      </c>
      <c r="AI18" s="16" t="s">
        <v>65</v>
      </c>
      <c r="AJ18" s="16"/>
      <c r="AK18" s="16" t="s">
        <v>65</v>
      </c>
      <c r="AL18" s="15">
        <f t="shared" si="4"/>
        <v>40</v>
      </c>
      <c r="AM18" s="14">
        <f>AL18*0</f>
        <v>0</v>
      </c>
    </row>
    <row r="19" spans="2:44" ht="15.6" x14ac:dyDescent="0.3">
      <c r="B19" s="52"/>
      <c r="C19" s="50"/>
      <c r="D19" s="50"/>
      <c r="E19" s="50"/>
      <c r="F19" s="50"/>
      <c r="G19" s="39">
        <f>SUM(G4:G16)</f>
        <v>485</v>
      </c>
      <c r="H19" s="49">
        <f>SUM(H4:H16)</f>
        <v>35965</v>
      </c>
      <c r="I19" s="50"/>
      <c r="J19" s="50"/>
      <c r="K19" s="50"/>
      <c r="L19" s="50"/>
      <c r="M19" s="50"/>
      <c r="N19" s="50"/>
      <c r="O19" s="39">
        <f>SUM(O4:O16)</f>
        <v>1319</v>
      </c>
      <c r="P19" s="49">
        <f>SUM(P4:P16)</f>
        <v>95225</v>
      </c>
      <c r="Q19" s="50"/>
      <c r="R19" s="50"/>
      <c r="S19" s="50"/>
      <c r="T19" s="50"/>
      <c r="U19" s="50"/>
      <c r="V19" s="50"/>
      <c r="W19" s="39">
        <f>SUM(W4:W16)</f>
        <v>674</v>
      </c>
      <c r="X19" s="49">
        <f>SUM(X4:X16)</f>
        <v>50765</v>
      </c>
      <c r="Y19" s="50"/>
      <c r="Z19" s="50"/>
      <c r="AA19" s="50"/>
      <c r="AB19" s="50"/>
      <c r="AC19" s="50"/>
      <c r="AD19" s="50"/>
      <c r="AE19" s="39">
        <f>SUM(AE4:AE16)</f>
        <v>914</v>
      </c>
      <c r="AF19" s="49">
        <f>SUM(AF4:AF16)</f>
        <v>65792</v>
      </c>
      <c r="AG19" s="50"/>
      <c r="AH19" s="50"/>
      <c r="AI19" s="50"/>
      <c r="AJ19" s="50"/>
      <c r="AK19" s="50"/>
      <c r="AL19" s="39">
        <f>SUM(AL4:AL16)</f>
        <v>780</v>
      </c>
      <c r="AM19" s="49">
        <f>SUM(AM4:AM16)</f>
        <v>58818</v>
      </c>
      <c r="AO19" s="47" t="s">
        <v>48</v>
      </c>
      <c r="AP19" s="48">
        <f>G50+O50+W50+AE50+AL50</f>
        <v>5522</v>
      </c>
      <c r="AQ19" s="30">
        <f>AP20/AP19</f>
        <v>72.464867801521194</v>
      </c>
    </row>
    <row r="20" spans="2:44" ht="15.6" customHeight="1" x14ac:dyDescent="0.3">
      <c r="B20" s="42" t="s">
        <v>47</v>
      </c>
      <c r="C20" s="16" t="s">
        <v>65</v>
      </c>
      <c r="D20" s="16">
        <v>10</v>
      </c>
      <c r="E20" s="16"/>
      <c r="F20" s="16">
        <v>7</v>
      </c>
      <c r="G20" s="15">
        <f>SUM(C20:F20)</f>
        <v>17</v>
      </c>
      <c r="H20" s="14">
        <f>G20*85</f>
        <v>1445</v>
      </c>
      <c r="I20" s="16"/>
      <c r="J20" s="16"/>
      <c r="K20" s="62"/>
      <c r="L20" s="16"/>
      <c r="M20" s="16">
        <v>30</v>
      </c>
      <c r="N20" s="16">
        <v>15</v>
      </c>
      <c r="O20" s="15">
        <f>SUM(I20:N20)</f>
        <v>45</v>
      </c>
      <c r="P20" s="14">
        <f>O20*85</f>
        <v>3825</v>
      </c>
      <c r="Q20" s="16"/>
      <c r="R20" s="16">
        <v>1</v>
      </c>
      <c r="S20" s="16"/>
      <c r="T20" s="16" t="s">
        <v>65</v>
      </c>
      <c r="U20" s="16">
        <v>10</v>
      </c>
      <c r="V20" s="16"/>
      <c r="W20" s="15">
        <f>SUM(Q20:V20)</f>
        <v>11</v>
      </c>
      <c r="X20" s="14">
        <f>W20*98</f>
        <v>1078</v>
      </c>
      <c r="Y20" s="16"/>
      <c r="Z20" s="16"/>
      <c r="AA20" s="16"/>
      <c r="AB20" s="16">
        <v>5</v>
      </c>
      <c r="AC20" s="16"/>
      <c r="AD20" s="16" t="s">
        <v>65</v>
      </c>
      <c r="AE20" s="15">
        <f t="shared" ref="AE20:AE47" si="5">SUM(Y20:AD20)</f>
        <v>5</v>
      </c>
      <c r="AF20" s="14">
        <f>AE20*98</f>
        <v>490</v>
      </c>
      <c r="AG20" s="16"/>
      <c r="AH20" s="16">
        <v>44</v>
      </c>
      <c r="AI20" s="16"/>
      <c r="AJ20" s="16"/>
      <c r="AK20" s="16">
        <v>15</v>
      </c>
      <c r="AL20" s="15">
        <f>SUM(AG20:AK20)</f>
        <v>59</v>
      </c>
      <c r="AM20" s="14">
        <f>AL20*98</f>
        <v>5782</v>
      </c>
      <c r="AO20" s="47" t="s">
        <v>3</v>
      </c>
      <c r="AP20" s="46">
        <f>H50+P50+X50+AF50+AM50</f>
        <v>400151</v>
      </c>
    </row>
    <row r="21" spans="2:44" x14ac:dyDescent="0.3">
      <c r="B21" s="42" t="s">
        <v>46</v>
      </c>
      <c r="C21" s="16" t="s">
        <v>65</v>
      </c>
      <c r="D21" s="16" t="s">
        <v>65</v>
      </c>
      <c r="E21" s="16"/>
      <c r="F21" s="16">
        <v>10</v>
      </c>
      <c r="G21" s="15">
        <f t="shared" ref="G21:G39" si="6">SUM(C21:F21)</f>
        <v>10</v>
      </c>
      <c r="H21" s="14">
        <f>G21*84</f>
        <v>840</v>
      </c>
      <c r="I21" s="16"/>
      <c r="J21" s="16"/>
      <c r="K21" s="62"/>
      <c r="L21" s="16"/>
      <c r="M21" s="16">
        <v>30</v>
      </c>
      <c r="N21" s="16">
        <v>23</v>
      </c>
      <c r="O21" s="15">
        <f t="shared" ref="O21:O43" si="7">SUM(I21:N21)</f>
        <v>53</v>
      </c>
      <c r="P21" s="14">
        <f>O21*84</f>
        <v>4452</v>
      </c>
      <c r="Q21" s="16">
        <v>1</v>
      </c>
      <c r="R21" s="16">
        <v>1</v>
      </c>
      <c r="S21" s="16"/>
      <c r="T21" s="16" t="s">
        <v>65</v>
      </c>
      <c r="U21" s="16">
        <v>10</v>
      </c>
      <c r="V21" s="16"/>
      <c r="W21" s="15">
        <f t="shared" ref="W21:W47" si="8">SUM(Q21:V21)</f>
        <v>12</v>
      </c>
      <c r="X21" s="14">
        <f>W21*96</f>
        <v>1152</v>
      </c>
      <c r="Y21" s="16"/>
      <c r="Z21" s="16"/>
      <c r="AA21" s="16"/>
      <c r="AB21" s="16">
        <v>17</v>
      </c>
      <c r="AC21" s="16">
        <v>2</v>
      </c>
      <c r="AD21" s="16" t="s">
        <v>65</v>
      </c>
      <c r="AE21" s="15">
        <f t="shared" si="5"/>
        <v>19</v>
      </c>
      <c r="AF21" s="14">
        <f>AE21*96</f>
        <v>1824</v>
      </c>
      <c r="AG21" s="16"/>
      <c r="AH21" s="16">
        <v>40</v>
      </c>
      <c r="AI21" s="16"/>
      <c r="AJ21" s="16"/>
      <c r="AK21" s="16">
        <v>15</v>
      </c>
      <c r="AL21" s="15">
        <f t="shared" ref="AL21:AL47" si="9">SUM(AG21:AK21)</f>
        <v>55</v>
      </c>
      <c r="AM21" s="14">
        <f>AL21*96</f>
        <v>5280</v>
      </c>
    </row>
    <row r="22" spans="2:44" x14ac:dyDescent="0.3">
      <c r="B22" s="42" t="s">
        <v>45</v>
      </c>
      <c r="C22" s="16" t="s">
        <v>65</v>
      </c>
      <c r="D22" s="16">
        <v>2</v>
      </c>
      <c r="E22" s="16"/>
      <c r="F22" s="16">
        <v>10</v>
      </c>
      <c r="G22" s="15">
        <f t="shared" si="6"/>
        <v>12</v>
      </c>
      <c r="H22" s="14">
        <f>G22*85</f>
        <v>1020</v>
      </c>
      <c r="I22" s="16"/>
      <c r="J22" s="16"/>
      <c r="K22" s="62"/>
      <c r="L22" s="16"/>
      <c r="M22" s="16">
        <v>3</v>
      </c>
      <c r="N22" s="16" t="s">
        <v>65</v>
      </c>
      <c r="O22" s="15">
        <f t="shared" si="7"/>
        <v>3</v>
      </c>
      <c r="P22" s="14">
        <f>O22*85</f>
        <v>255</v>
      </c>
      <c r="Q22" s="16" t="s">
        <v>65</v>
      </c>
      <c r="R22" s="16"/>
      <c r="S22" s="16">
        <v>5</v>
      </c>
      <c r="T22" s="16">
        <v>10</v>
      </c>
      <c r="U22" s="16">
        <v>10</v>
      </c>
      <c r="V22" s="16"/>
      <c r="W22" s="15">
        <f t="shared" si="8"/>
        <v>25</v>
      </c>
      <c r="X22" s="14">
        <f>W22*98</f>
        <v>2450</v>
      </c>
      <c r="Y22" s="16">
        <v>3</v>
      </c>
      <c r="Z22" s="16"/>
      <c r="AA22" s="16"/>
      <c r="AB22" s="16">
        <v>23</v>
      </c>
      <c r="AC22" s="16"/>
      <c r="AD22" s="16" t="s">
        <v>65</v>
      </c>
      <c r="AE22" s="15">
        <f t="shared" si="5"/>
        <v>26</v>
      </c>
      <c r="AF22" s="14">
        <f>AE22*98</f>
        <v>2548</v>
      </c>
      <c r="AG22" s="16"/>
      <c r="AH22" s="16">
        <v>10</v>
      </c>
      <c r="AI22" s="16"/>
      <c r="AJ22" s="16">
        <v>1</v>
      </c>
      <c r="AK22" s="16">
        <v>3</v>
      </c>
      <c r="AL22" s="15">
        <f t="shared" si="9"/>
        <v>14</v>
      </c>
      <c r="AM22" s="14">
        <f>AL22*98</f>
        <v>1372</v>
      </c>
      <c r="AR22">
        <f>JUNIO!AL19-OCTUBRE!AP19</f>
        <v>1215</v>
      </c>
    </row>
    <row r="23" spans="2:44" x14ac:dyDescent="0.3">
      <c r="B23" s="42" t="s">
        <v>44</v>
      </c>
      <c r="C23" s="16" t="s">
        <v>65</v>
      </c>
      <c r="D23" s="16">
        <v>10</v>
      </c>
      <c r="E23" s="16"/>
      <c r="F23" s="16"/>
      <c r="G23" s="15">
        <f t="shared" si="6"/>
        <v>10</v>
      </c>
      <c r="H23" s="14">
        <f>G23*85</f>
        <v>850</v>
      </c>
      <c r="I23" s="16"/>
      <c r="J23" s="16"/>
      <c r="K23" s="62"/>
      <c r="L23" s="16"/>
      <c r="M23" s="16"/>
      <c r="N23" s="16">
        <v>2</v>
      </c>
      <c r="O23" s="15">
        <f t="shared" si="7"/>
        <v>2</v>
      </c>
      <c r="P23" s="14">
        <f>O23*85</f>
        <v>170</v>
      </c>
      <c r="Q23" s="16" t="s">
        <v>65</v>
      </c>
      <c r="R23" s="16"/>
      <c r="S23" s="16"/>
      <c r="T23" s="16">
        <v>10</v>
      </c>
      <c r="U23" s="16">
        <v>10</v>
      </c>
      <c r="V23" s="16"/>
      <c r="W23" s="15">
        <f t="shared" si="8"/>
        <v>20</v>
      </c>
      <c r="X23" s="14">
        <f>W23*82</f>
        <v>1640</v>
      </c>
      <c r="Y23" s="16">
        <v>6</v>
      </c>
      <c r="Z23" s="16"/>
      <c r="AA23" s="16"/>
      <c r="AB23" s="16">
        <v>15</v>
      </c>
      <c r="AC23" s="16"/>
      <c r="AD23" s="16">
        <v>5</v>
      </c>
      <c r="AE23" s="15">
        <f t="shared" si="5"/>
        <v>26</v>
      </c>
      <c r="AF23" s="14">
        <f>AE23*82</f>
        <v>2132</v>
      </c>
      <c r="AG23" s="16"/>
      <c r="AH23" s="16">
        <v>10</v>
      </c>
      <c r="AI23" s="16"/>
      <c r="AJ23" s="16"/>
      <c r="AK23" s="16"/>
      <c r="AL23" s="15">
        <f t="shared" si="9"/>
        <v>10</v>
      </c>
      <c r="AM23" s="14">
        <f>AL23*82</f>
        <v>820</v>
      </c>
    </row>
    <row r="24" spans="2:44" ht="15.6" x14ac:dyDescent="0.3">
      <c r="B24" s="42" t="s">
        <v>43</v>
      </c>
      <c r="C24" s="16" t="s">
        <v>65</v>
      </c>
      <c r="D24" s="16"/>
      <c r="E24" s="16"/>
      <c r="F24" s="16"/>
      <c r="G24" s="15">
        <f t="shared" si="6"/>
        <v>0</v>
      </c>
      <c r="H24" s="14">
        <f>G24*85</f>
        <v>0</v>
      </c>
      <c r="I24" s="16"/>
      <c r="J24" s="16"/>
      <c r="K24" s="62"/>
      <c r="L24" s="16"/>
      <c r="M24" s="16"/>
      <c r="N24" s="16" t="s">
        <v>65</v>
      </c>
      <c r="O24" s="15">
        <f t="shared" si="7"/>
        <v>0</v>
      </c>
      <c r="P24" s="14">
        <f>O24*85</f>
        <v>0</v>
      </c>
      <c r="Q24" s="16" t="s">
        <v>65</v>
      </c>
      <c r="R24" s="16"/>
      <c r="S24" s="16"/>
      <c r="T24" s="16"/>
      <c r="U24" s="16"/>
      <c r="V24" s="16"/>
      <c r="W24" s="15">
        <f t="shared" si="8"/>
        <v>0</v>
      </c>
      <c r="X24" s="14">
        <f>W24*100</f>
        <v>0</v>
      </c>
      <c r="Y24" s="16"/>
      <c r="Z24" s="16"/>
      <c r="AA24" s="16"/>
      <c r="AB24" s="16"/>
      <c r="AC24" s="16"/>
      <c r="AD24" s="16"/>
      <c r="AE24" s="15">
        <f t="shared" si="5"/>
        <v>0</v>
      </c>
      <c r="AF24" s="14">
        <f>AE24*100</f>
        <v>0</v>
      </c>
      <c r="AG24" s="16"/>
      <c r="AH24" s="16"/>
      <c r="AI24" s="16"/>
      <c r="AJ24" s="16"/>
      <c r="AK24" s="16"/>
      <c r="AL24" s="15">
        <f t="shared" si="9"/>
        <v>0</v>
      </c>
      <c r="AM24" s="14">
        <f>AL24*100</f>
        <v>0</v>
      </c>
      <c r="AO24" s="70" t="s">
        <v>42</v>
      </c>
      <c r="AP24" s="70"/>
    </row>
    <row r="25" spans="2:44" ht="15.6" x14ac:dyDescent="0.3">
      <c r="B25" s="42" t="s">
        <v>41</v>
      </c>
      <c r="C25" s="16" t="s">
        <v>65</v>
      </c>
      <c r="D25" s="16"/>
      <c r="E25" s="16"/>
      <c r="F25" s="16"/>
      <c r="G25" s="15">
        <f t="shared" si="6"/>
        <v>0</v>
      </c>
      <c r="H25" s="14">
        <f>G25*84</f>
        <v>0</v>
      </c>
      <c r="I25" s="16"/>
      <c r="J25" s="16"/>
      <c r="K25" s="62"/>
      <c r="L25" s="16"/>
      <c r="M25" s="16"/>
      <c r="N25" s="16" t="s">
        <v>65</v>
      </c>
      <c r="O25" s="15">
        <f t="shared" si="7"/>
        <v>0</v>
      </c>
      <c r="P25" s="14">
        <f>O25*84</f>
        <v>0</v>
      </c>
      <c r="Q25" s="16" t="s">
        <v>65</v>
      </c>
      <c r="R25" s="16"/>
      <c r="S25" s="16"/>
      <c r="T25" s="16"/>
      <c r="U25" s="16"/>
      <c r="V25" s="16"/>
      <c r="W25" s="15">
        <f t="shared" si="8"/>
        <v>0</v>
      </c>
      <c r="X25" s="14">
        <f>W25*115</f>
        <v>0</v>
      </c>
      <c r="Y25" s="16"/>
      <c r="Z25" s="16"/>
      <c r="AA25" s="16"/>
      <c r="AB25" s="16"/>
      <c r="AC25" s="16"/>
      <c r="AD25" s="16"/>
      <c r="AE25" s="15">
        <f t="shared" si="5"/>
        <v>0</v>
      </c>
      <c r="AF25" s="14">
        <f>AE25*115</f>
        <v>0</v>
      </c>
      <c r="AG25" s="16"/>
      <c r="AH25" s="16"/>
      <c r="AI25" s="16"/>
      <c r="AJ25" s="16"/>
      <c r="AK25" s="16"/>
      <c r="AL25" s="15">
        <f t="shared" si="9"/>
        <v>0</v>
      </c>
      <c r="AM25" s="14">
        <f>AL25*115</f>
        <v>0</v>
      </c>
      <c r="AO25" s="45" t="s">
        <v>40</v>
      </c>
      <c r="AP25" s="44">
        <f>G13+O13+W13+AE13+AL13</f>
        <v>821</v>
      </c>
    </row>
    <row r="26" spans="2:44" ht="15.6" x14ac:dyDescent="0.3">
      <c r="B26" s="42" t="s">
        <v>39</v>
      </c>
      <c r="C26" s="16" t="s">
        <v>65</v>
      </c>
      <c r="D26" s="16"/>
      <c r="E26" s="16"/>
      <c r="F26" s="16"/>
      <c r="G26" s="15">
        <f t="shared" si="6"/>
        <v>0</v>
      </c>
      <c r="H26" s="14">
        <f>G26*85</f>
        <v>0</v>
      </c>
      <c r="I26" s="16"/>
      <c r="J26" s="16"/>
      <c r="K26" s="62"/>
      <c r="L26" s="16"/>
      <c r="M26" s="16"/>
      <c r="N26" s="16" t="s">
        <v>65</v>
      </c>
      <c r="O26" s="15">
        <f t="shared" si="7"/>
        <v>0</v>
      </c>
      <c r="P26" s="14">
        <f>O26*85</f>
        <v>0</v>
      </c>
      <c r="Q26" s="16" t="s">
        <v>65</v>
      </c>
      <c r="R26" s="16"/>
      <c r="S26" s="16"/>
      <c r="T26" s="16"/>
      <c r="U26" s="16"/>
      <c r="V26" s="16"/>
      <c r="W26" s="15">
        <f t="shared" si="8"/>
        <v>0</v>
      </c>
      <c r="X26" s="14">
        <f>W26*85</f>
        <v>0</v>
      </c>
      <c r="Y26" s="16"/>
      <c r="Z26" s="16"/>
      <c r="AA26" s="16"/>
      <c r="AB26" s="16"/>
      <c r="AC26" s="16"/>
      <c r="AD26" s="16"/>
      <c r="AE26" s="15">
        <f t="shared" si="5"/>
        <v>0</v>
      </c>
      <c r="AF26" s="14">
        <f>AE26*85</f>
        <v>0</v>
      </c>
      <c r="AG26" s="16"/>
      <c r="AH26" s="16"/>
      <c r="AI26" s="16"/>
      <c r="AJ26" s="16"/>
      <c r="AK26" s="16"/>
      <c r="AL26" s="15">
        <f t="shared" si="9"/>
        <v>0</v>
      </c>
      <c r="AM26" s="14">
        <f>AL26*85</f>
        <v>0</v>
      </c>
      <c r="AO26" s="45" t="s">
        <v>38</v>
      </c>
      <c r="AP26" s="44">
        <f>G14+O14+W14+AE14+AL14</f>
        <v>457</v>
      </c>
    </row>
    <row r="27" spans="2:44" ht="15.6" x14ac:dyDescent="0.3">
      <c r="B27" s="42" t="s">
        <v>37</v>
      </c>
      <c r="C27" s="16" t="s">
        <v>65</v>
      </c>
      <c r="D27" s="16"/>
      <c r="E27" s="16"/>
      <c r="F27" s="16"/>
      <c r="G27" s="15">
        <f t="shared" si="6"/>
        <v>0</v>
      </c>
      <c r="H27" s="14">
        <f>G27*85</f>
        <v>0</v>
      </c>
      <c r="I27" s="16"/>
      <c r="J27" s="16"/>
      <c r="K27" s="62"/>
      <c r="L27" s="16"/>
      <c r="M27" s="16"/>
      <c r="N27" s="16" t="s">
        <v>65</v>
      </c>
      <c r="O27" s="15">
        <f t="shared" si="7"/>
        <v>0</v>
      </c>
      <c r="P27" s="14">
        <f>O27*85</f>
        <v>0</v>
      </c>
      <c r="Q27" s="16" t="s">
        <v>65</v>
      </c>
      <c r="R27" s="16"/>
      <c r="S27" s="16"/>
      <c r="T27" s="16"/>
      <c r="U27" s="16"/>
      <c r="V27" s="16"/>
      <c r="W27" s="15">
        <f t="shared" si="8"/>
        <v>0</v>
      </c>
      <c r="X27" s="14">
        <f>W27*85</f>
        <v>0</v>
      </c>
      <c r="Y27" s="16"/>
      <c r="Z27" s="16"/>
      <c r="AA27" s="16"/>
      <c r="AB27" s="16"/>
      <c r="AC27" s="16"/>
      <c r="AD27" s="16"/>
      <c r="AE27" s="15">
        <f t="shared" si="5"/>
        <v>0</v>
      </c>
      <c r="AF27" s="14">
        <f>AE27*85</f>
        <v>0</v>
      </c>
      <c r="AG27" s="16"/>
      <c r="AH27" s="16"/>
      <c r="AI27" s="16"/>
      <c r="AJ27" s="16"/>
      <c r="AK27" s="16"/>
      <c r="AL27" s="15">
        <f t="shared" si="9"/>
        <v>0</v>
      </c>
      <c r="AM27" s="14">
        <f>AL27*85</f>
        <v>0</v>
      </c>
      <c r="AO27" s="45" t="s">
        <v>36</v>
      </c>
      <c r="AP27" s="44">
        <f>G15+O15+W15+AE15+AL15</f>
        <v>107</v>
      </c>
    </row>
    <row r="28" spans="2:44" x14ac:dyDescent="0.3">
      <c r="B28" s="42" t="s">
        <v>35</v>
      </c>
      <c r="C28" s="16">
        <v>10</v>
      </c>
      <c r="D28" s="16"/>
      <c r="E28" s="16"/>
      <c r="F28" s="16"/>
      <c r="G28" s="15">
        <f t="shared" si="6"/>
        <v>10</v>
      </c>
      <c r="H28" s="14">
        <f>G28*75</f>
        <v>750</v>
      </c>
      <c r="I28" s="16"/>
      <c r="J28" s="16"/>
      <c r="K28" s="62"/>
      <c r="L28" s="16"/>
      <c r="M28" s="16">
        <v>10</v>
      </c>
      <c r="N28" s="16" t="s">
        <v>65</v>
      </c>
      <c r="O28" s="15">
        <f t="shared" si="7"/>
        <v>10</v>
      </c>
      <c r="P28" s="14">
        <f>O28*75</f>
        <v>750</v>
      </c>
      <c r="Q28" s="16"/>
      <c r="R28" s="16"/>
      <c r="S28" s="16">
        <v>3</v>
      </c>
      <c r="T28" s="16"/>
      <c r="U28" s="16"/>
      <c r="V28" s="16"/>
      <c r="W28" s="15">
        <f t="shared" si="8"/>
        <v>3</v>
      </c>
      <c r="X28" s="14">
        <f>W28*75</f>
        <v>225</v>
      </c>
      <c r="Y28" s="16"/>
      <c r="Z28" s="16"/>
      <c r="AA28" s="16">
        <v>10</v>
      </c>
      <c r="AB28" s="16"/>
      <c r="AC28" s="16">
        <v>11</v>
      </c>
      <c r="AD28" s="16"/>
      <c r="AE28" s="15">
        <f t="shared" si="5"/>
        <v>21</v>
      </c>
      <c r="AF28" s="14">
        <f>AE28*75</f>
        <v>1575</v>
      </c>
      <c r="AG28" s="16"/>
      <c r="AH28" s="16">
        <v>10</v>
      </c>
      <c r="AI28" s="16"/>
      <c r="AJ28" s="16"/>
      <c r="AK28" s="16"/>
      <c r="AL28" s="15">
        <f t="shared" si="9"/>
        <v>10</v>
      </c>
      <c r="AM28" s="14">
        <f>AL28*75</f>
        <v>750</v>
      </c>
      <c r="AN28" t="s">
        <v>67</v>
      </c>
      <c r="AP28" s="43">
        <f>SUM(AP25:AP27)</f>
        <v>1385</v>
      </c>
    </row>
    <row r="29" spans="2:44" x14ac:dyDescent="0.3">
      <c r="B29" s="42" t="s">
        <v>34</v>
      </c>
      <c r="C29" s="16"/>
      <c r="D29" s="16"/>
      <c r="E29" s="16"/>
      <c r="F29" s="16"/>
      <c r="G29" s="15">
        <f t="shared" si="6"/>
        <v>0</v>
      </c>
      <c r="H29" s="14">
        <f>G29*75</f>
        <v>0</v>
      </c>
      <c r="I29" s="16"/>
      <c r="J29" s="16"/>
      <c r="K29" s="62"/>
      <c r="L29" s="16"/>
      <c r="M29" s="16"/>
      <c r="N29" s="16" t="s">
        <v>65</v>
      </c>
      <c r="O29" s="15">
        <f t="shared" si="7"/>
        <v>0</v>
      </c>
      <c r="P29" s="14">
        <f>O29*75</f>
        <v>0</v>
      </c>
      <c r="Q29" s="16"/>
      <c r="R29" s="16"/>
      <c r="S29" s="16"/>
      <c r="T29" s="16"/>
      <c r="U29" s="16"/>
      <c r="V29" s="16"/>
      <c r="W29" s="15">
        <f t="shared" si="8"/>
        <v>0</v>
      </c>
      <c r="X29" s="14">
        <f>W29*75</f>
        <v>0</v>
      </c>
      <c r="Y29" s="16"/>
      <c r="Z29" s="16"/>
      <c r="AA29" s="16"/>
      <c r="AB29" s="16"/>
      <c r="AC29" s="16"/>
      <c r="AD29" s="16"/>
      <c r="AE29" s="15">
        <f t="shared" si="5"/>
        <v>0</v>
      </c>
      <c r="AF29" s="14">
        <f>AE29*75</f>
        <v>0</v>
      </c>
      <c r="AG29" s="16"/>
      <c r="AH29" s="16">
        <v>10</v>
      </c>
      <c r="AI29" s="16"/>
      <c r="AJ29" s="16"/>
      <c r="AK29" s="16"/>
      <c r="AL29" s="15">
        <f t="shared" si="9"/>
        <v>10</v>
      </c>
      <c r="AM29" s="14">
        <f>AL29*75</f>
        <v>750</v>
      </c>
    </row>
    <row r="30" spans="2:44" x14ac:dyDescent="0.3">
      <c r="B30" s="42" t="s">
        <v>33</v>
      </c>
      <c r="C30" s="16"/>
      <c r="D30" s="16"/>
      <c r="E30" s="16"/>
      <c r="F30" s="16">
        <v>10</v>
      </c>
      <c r="G30" s="15">
        <f t="shared" si="6"/>
        <v>10</v>
      </c>
      <c r="H30" s="14">
        <f>G30*78</f>
        <v>780</v>
      </c>
      <c r="I30" s="16"/>
      <c r="J30" s="16">
        <v>10</v>
      </c>
      <c r="K30" s="62"/>
      <c r="L30" s="16"/>
      <c r="M30" s="16">
        <v>10</v>
      </c>
      <c r="N30" s="16">
        <v>9</v>
      </c>
      <c r="O30" s="15">
        <f t="shared" si="7"/>
        <v>29</v>
      </c>
      <c r="P30" s="14">
        <f>O30*78</f>
        <v>2262</v>
      </c>
      <c r="Q30" s="16">
        <v>15</v>
      </c>
      <c r="R30" s="16">
        <v>1</v>
      </c>
      <c r="S30" s="16">
        <v>3</v>
      </c>
      <c r="T30" s="16"/>
      <c r="U30" s="16"/>
      <c r="V30" s="16"/>
      <c r="W30" s="15">
        <f t="shared" si="8"/>
        <v>19</v>
      </c>
      <c r="X30" s="14">
        <f>W30*78</f>
        <v>1482</v>
      </c>
      <c r="Y30" s="16">
        <v>4</v>
      </c>
      <c r="Z30" s="16">
        <v>3</v>
      </c>
      <c r="AA30" s="16">
        <v>15</v>
      </c>
      <c r="AB30" s="16">
        <v>20</v>
      </c>
      <c r="AC30" s="16">
        <v>15</v>
      </c>
      <c r="AD30" s="16"/>
      <c r="AE30" s="15">
        <f t="shared" si="5"/>
        <v>57</v>
      </c>
      <c r="AF30" s="14">
        <f>AE30*78</f>
        <v>4446</v>
      </c>
      <c r="AG30" s="16"/>
      <c r="AH30" s="16"/>
      <c r="AI30" s="16"/>
      <c r="AJ30" s="16">
        <v>2</v>
      </c>
      <c r="AK30" s="16"/>
      <c r="AL30" s="15">
        <f t="shared" si="9"/>
        <v>2</v>
      </c>
      <c r="AM30" s="14">
        <f>AL30*78</f>
        <v>156</v>
      </c>
    </row>
    <row r="31" spans="2:44" x14ac:dyDescent="0.3">
      <c r="B31" s="42" t="s">
        <v>32</v>
      </c>
      <c r="C31" s="16"/>
      <c r="D31" s="16"/>
      <c r="E31" s="16"/>
      <c r="F31" s="16"/>
      <c r="G31" s="15">
        <f t="shared" si="6"/>
        <v>0</v>
      </c>
      <c r="H31" s="14">
        <f>G31*70</f>
        <v>0</v>
      </c>
      <c r="I31" s="16"/>
      <c r="J31" s="16"/>
      <c r="K31" s="62"/>
      <c r="L31" s="16"/>
      <c r="M31" s="16"/>
      <c r="N31" s="16"/>
      <c r="O31" s="15">
        <f t="shared" si="7"/>
        <v>0</v>
      </c>
      <c r="P31" s="14">
        <f>O31*70</f>
        <v>0</v>
      </c>
      <c r="Q31" s="16"/>
      <c r="R31" s="16"/>
      <c r="S31" s="16"/>
      <c r="T31" s="16"/>
      <c r="U31" s="16"/>
      <c r="V31" s="16"/>
      <c r="W31" s="15">
        <f t="shared" si="8"/>
        <v>0</v>
      </c>
      <c r="X31" s="14">
        <f>W31*70</f>
        <v>0</v>
      </c>
      <c r="Y31" s="16"/>
      <c r="Z31" s="16"/>
      <c r="AA31" s="16"/>
      <c r="AB31" s="16"/>
      <c r="AC31" s="16"/>
      <c r="AD31" s="16"/>
      <c r="AE31" s="15">
        <f t="shared" si="5"/>
        <v>0</v>
      </c>
      <c r="AF31" s="14">
        <f>AE31*70</f>
        <v>0</v>
      </c>
      <c r="AG31" s="16"/>
      <c r="AH31" s="16"/>
      <c r="AI31" s="16"/>
      <c r="AJ31" s="16"/>
      <c r="AK31" s="16"/>
      <c r="AL31" s="15">
        <f t="shared" si="9"/>
        <v>0</v>
      </c>
      <c r="AM31" s="14">
        <f>AL31*70</f>
        <v>0</v>
      </c>
    </row>
    <row r="32" spans="2:44" x14ac:dyDescent="0.3">
      <c r="B32" s="42" t="s">
        <v>31</v>
      </c>
      <c r="C32" s="16"/>
      <c r="D32" s="16"/>
      <c r="E32" s="16"/>
      <c r="F32" s="16"/>
      <c r="G32" s="15">
        <f t="shared" si="6"/>
        <v>0</v>
      </c>
      <c r="H32" s="14">
        <f>G32*60</f>
        <v>0</v>
      </c>
      <c r="I32" s="16"/>
      <c r="J32" s="16"/>
      <c r="K32" s="62"/>
      <c r="L32" s="16"/>
      <c r="M32" s="16"/>
      <c r="N32" s="16"/>
      <c r="O32" s="15">
        <f t="shared" si="7"/>
        <v>0</v>
      </c>
      <c r="P32" s="14">
        <f>O32*60</f>
        <v>0</v>
      </c>
      <c r="Q32" s="16"/>
      <c r="R32" s="16"/>
      <c r="S32" s="16"/>
      <c r="T32" s="16"/>
      <c r="U32" s="16"/>
      <c r="V32" s="16"/>
      <c r="W32" s="15">
        <f t="shared" si="8"/>
        <v>0</v>
      </c>
      <c r="X32" s="14">
        <f>W32*60</f>
        <v>0</v>
      </c>
      <c r="Y32" s="16"/>
      <c r="Z32" s="16"/>
      <c r="AA32" s="16">
        <v>68</v>
      </c>
      <c r="AB32" s="16"/>
      <c r="AC32" s="16"/>
      <c r="AD32" s="16"/>
      <c r="AE32" s="15">
        <f t="shared" si="5"/>
        <v>68</v>
      </c>
      <c r="AF32" s="14">
        <f>AE32*60</f>
        <v>4080</v>
      </c>
      <c r="AG32" s="16"/>
      <c r="AH32" s="16"/>
      <c r="AI32" s="16"/>
      <c r="AJ32" s="16"/>
      <c r="AK32" s="16"/>
      <c r="AL32" s="15">
        <f t="shared" si="9"/>
        <v>0</v>
      </c>
      <c r="AM32" s="14">
        <f>AL32*60</f>
        <v>0</v>
      </c>
    </row>
    <row r="33" spans="2:43" x14ac:dyDescent="0.3">
      <c r="B33" s="42" t="s">
        <v>30</v>
      </c>
      <c r="C33" s="16"/>
      <c r="D33" s="16"/>
      <c r="E33" s="16"/>
      <c r="F33" s="16"/>
      <c r="G33" s="15">
        <f t="shared" si="6"/>
        <v>0</v>
      </c>
      <c r="H33" s="14">
        <f>G33*60</f>
        <v>0</v>
      </c>
      <c r="I33" s="16"/>
      <c r="J33" s="16"/>
      <c r="K33" s="62"/>
      <c r="L33" s="16"/>
      <c r="M33" s="16"/>
      <c r="N33" s="16"/>
      <c r="O33" s="15">
        <f t="shared" si="7"/>
        <v>0</v>
      </c>
      <c r="P33" s="14">
        <f>O33*60</f>
        <v>0</v>
      </c>
      <c r="Q33" s="16"/>
      <c r="R33" s="16"/>
      <c r="S33" s="16"/>
      <c r="T33" s="16"/>
      <c r="U33" s="16"/>
      <c r="V33" s="16"/>
      <c r="W33" s="15">
        <f t="shared" si="8"/>
        <v>0</v>
      </c>
      <c r="X33" s="14">
        <f>W33*60</f>
        <v>0</v>
      </c>
      <c r="Y33" s="16"/>
      <c r="Z33" s="16"/>
      <c r="AA33" s="16">
        <v>100</v>
      </c>
      <c r="AB33" s="16"/>
      <c r="AC33" s="16"/>
      <c r="AD33" s="16"/>
      <c r="AE33" s="15">
        <f t="shared" si="5"/>
        <v>100</v>
      </c>
      <c r="AF33" s="14">
        <f>AE33*60</f>
        <v>6000</v>
      </c>
      <c r="AG33" s="16"/>
      <c r="AH33" s="16"/>
      <c r="AI33" s="16"/>
      <c r="AJ33" s="16"/>
      <c r="AK33" s="16"/>
      <c r="AL33" s="15">
        <f t="shared" si="9"/>
        <v>0</v>
      </c>
      <c r="AM33" s="14">
        <f>AL33*60</f>
        <v>0</v>
      </c>
    </row>
    <row r="34" spans="2:43" x14ac:dyDescent="0.3">
      <c r="B34" s="42" t="s">
        <v>29</v>
      </c>
      <c r="C34" s="16"/>
      <c r="D34" s="16"/>
      <c r="E34" s="16"/>
      <c r="F34" s="16"/>
      <c r="G34" s="15">
        <f t="shared" si="6"/>
        <v>0</v>
      </c>
      <c r="H34" s="14">
        <f>G34*40</f>
        <v>0</v>
      </c>
      <c r="I34" s="16"/>
      <c r="J34" s="16"/>
      <c r="K34" s="62"/>
      <c r="L34" s="16">
        <v>2</v>
      </c>
      <c r="M34" s="16"/>
      <c r="N34" s="16"/>
      <c r="O34" s="15">
        <f t="shared" si="7"/>
        <v>2</v>
      </c>
      <c r="P34" s="14">
        <f>O34*40</f>
        <v>80</v>
      </c>
      <c r="Q34" s="16"/>
      <c r="R34" s="16"/>
      <c r="S34" s="16"/>
      <c r="T34" s="16"/>
      <c r="U34" s="16"/>
      <c r="V34" s="16"/>
      <c r="W34" s="15">
        <f t="shared" si="8"/>
        <v>0</v>
      </c>
      <c r="X34" s="14">
        <f>W34*40</f>
        <v>0</v>
      </c>
      <c r="Y34" s="16"/>
      <c r="Z34" s="16"/>
      <c r="AA34" s="16">
        <v>80</v>
      </c>
      <c r="AB34" s="16"/>
      <c r="AC34" s="16"/>
      <c r="AD34" s="16"/>
      <c r="AE34" s="15">
        <f t="shared" si="5"/>
        <v>80</v>
      </c>
      <c r="AF34" s="14">
        <f>AE34*40</f>
        <v>3200</v>
      </c>
      <c r="AG34" s="16"/>
      <c r="AH34" s="16"/>
      <c r="AI34" s="16"/>
      <c r="AJ34" s="16"/>
      <c r="AK34" s="16"/>
      <c r="AL34" s="15">
        <f t="shared" si="9"/>
        <v>0</v>
      </c>
      <c r="AM34" s="14">
        <f>AL34*40</f>
        <v>0</v>
      </c>
    </row>
    <row r="35" spans="2:43" x14ac:dyDescent="0.3">
      <c r="B35" s="42" t="s">
        <v>28</v>
      </c>
      <c r="C35" s="16"/>
      <c r="D35" s="16">
        <v>25</v>
      </c>
      <c r="E35" s="16"/>
      <c r="F35" s="16"/>
      <c r="G35" s="15">
        <f t="shared" si="6"/>
        <v>25</v>
      </c>
      <c r="H35" s="14">
        <f>G35*40</f>
        <v>1000</v>
      </c>
      <c r="I35" s="16"/>
      <c r="J35" s="16">
        <v>91</v>
      </c>
      <c r="K35" s="62"/>
      <c r="L35" s="16">
        <v>40</v>
      </c>
      <c r="M35" s="16">
        <v>21</v>
      </c>
      <c r="N35" s="16"/>
      <c r="O35" s="15">
        <f t="shared" si="7"/>
        <v>152</v>
      </c>
      <c r="P35" s="14">
        <f>O35*40</f>
        <v>6080</v>
      </c>
      <c r="Q35" s="16">
        <v>9</v>
      </c>
      <c r="R35" s="16"/>
      <c r="S35" s="16"/>
      <c r="T35" s="16"/>
      <c r="U35" s="16"/>
      <c r="V35" s="16"/>
      <c r="W35" s="15">
        <f t="shared" si="8"/>
        <v>9</v>
      </c>
      <c r="X35" s="14">
        <f>W35*40</f>
        <v>360</v>
      </c>
      <c r="Y35" s="16">
        <v>4</v>
      </c>
      <c r="Z35" s="16"/>
      <c r="AA35" s="16">
        <v>70</v>
      </c>
      <c r="AB35" s="16">
        <v>24</v>
      </c>
      <c r="AC35" s="16"/>
      <c r="AD35" s="16"/>
      <c r="AE35" s="15">
        <f t="shared" si="5"/>
        <v>98</v>
      </c>
      <c r="AF35" s="14">
        <f>AE35*40</f>
        <v>3920</v>
      </c>
      <c r="AG35" s="16"/>
      <c r="AH35" s="16"/>
      <c r="AI35" s="16"/>
      <c r="AJ35" s="16"/>
      <c r="AK35" s="16">
        <v>3</v>
      </c>
      <c r="AL35" s="15">
        <f t="shared" si="9"/>
        <v>3</v>
      </c>
      <c r="AM35" s="14">
        <f>AL35*40</f>
        <v>120</v>
      </c>
    </row>
    <row r="36" spans="2:43" x14ac:dyDescent="0.3">
      <c r="B36" s="42" t="s">
        <v>27</v>
      </c>
      <c r="C36" s="16"/>
      <c r="D36" s="16"/>
      <c r="E36" s="16"/>
      <c r="F36" s="16"/>
      <c r="G36" s="15">
        <f t="shared" si="6"/>
        <v>0</v>
      </c>
      <c r="H36" s="14">
        <f>G36*76</f>
        <v>0</v>
      </c>
      <c r="I36" s="16"/>
      <c r="J36" s="16"/>
      <c r="K36" s="62"/>
      <c r="L36" s="16"/>
      <c r="M36" s="16"/>
      <c r="N36" s="16">
        <v>40</v>
      </c>
      <c r="O36" s="15">
        <f t="shared" si="7"/>
        <v>40</v>
      </c>
      <c r="P36" s="14">
        <f>O36*76</f>
        <v>3040</v>
      </c>
      <c r="Q36" s="16"/>
      <c r="R36" s="16"/>
      <c r="S36" s="16"/>
      <c r="T36" s="16"/>
      <c r="U36" s="16"/>
      <c r="V36" s="16"/>
      <c r="W36" s="15">
        <f t="shared" si="8"/>
        <v>0</v>
      </c>
      <c r="X36" s="14">
        <f>W36*76</f>
        <v>0</v>
      </c>
      <c r="Y36" s="16"/>
      <c r="Z36" s="16"/>
      <c r="AA36" s="16"/>
      <c r="AB36" s="16"/>
      <c r="AC36" s="16"/>
      <c r="AD36" s="16"/>
      <c r="AE36" s="15">
        <f t="shared" si="5"/>
        <v>0</v>
      </c>
      <c r="AF36" s="14">
        <f>AE36*76</f>
        <v>0</v>
      </c>
      <c r="AG36" s="16"/>
      <c r="AH36" s="16"/>
      <c r="AI36" s="16"/>
      <c r="AJ36" s="16"/>
      <c r="AK36" s="16">
        <v>31</v>
      </c>
      <c r="AL36" s="15">
        <f t="shared" si="9"/>
        <v>31</v>
      </c>
      <c r="AM36" s="14">
        <f>AL36*76</f>
        <v>2356</v>
      </c>
    </row>
    <row r="37" spans="2:43" x14ac:dyDescent="0.3">
      <c r="B37" s="42" t="s">
        <v>26</v>
      </c>
      <c r="C37" s="16"/>
      <c r="D37" s="16"/>
      <c r="E37" s="16"/>
      <c r="F37" s="16"/>
      <c r="G37" s="15">
        <f t="shared" si="6"/>
        <v>0</v>
      </c>
      <c r="H37" s="14">
        <f>G37*90</f>
        <v>0</v>
      </c>
      <c r="I37" s="16"/>
      <c r="J37" s="16"/>
      <c r="K37" s="62"/>
      <c r="L37" s="16"/>
      <c r="M37" s="16"/>
      <c r="N37" s="16"/>
      <c r="O37" s="15">
        <f t="shared" si="7"/>
        <v>0</v>
      </c>
      <c r="P37" s="14">
        <f>O37*90</f>
        <v>0</v>
      </c>
      <c r="Q37" s="16"/>
      <c r="R37" s="16"/>
      <c r="S37" s="16"/>
      <c r="T37" s="16"/>
      <c r="U37" s="16"/>
      <c r="V37" s="16"/>
      <c r="W37" s="15">
        <f t="shared" si="8"/>
        <v>0</v>
      </c>
      <c r="X37" s="14">
        <f>W37*90</f>
        <v>0</v>
      </c>
      <c r="Y37" s="16"/>
      <c r="Z37" s="16"/>
      <c r="AA37" s="16"/>
      <c r="AB37" s="16"/>
      <c r="AC37" s="16"/>
      <c r="AD37" s="16"/>
      <c r="AE37" s="15">
        <f t="shared" si="5"/>
        <v>0</v>
      </c>
      <c r="AF37" s="14">
        <f>AE37*90</f>
        <v>0</v>
      </c>
      <c r="AG37" s="16"/>
      <c r="AH37" s="16"/>
      <c r="AI37" s="16"/>
      <c r="AJ37" s="16"/>
      <c r="AK37" s="16"/>
      <c r="AL37" s="15">
        <f t="shared" si="9"/>
        <v>0</v>
      </c>
      <c r="AM37" s="14">
        <f>AL37*90</f>
        <v>0</v>
      </c>
    </row>
    <row r="38" spans="2:43" x14ac:dyDescent="0.3">
      <c r="B38" s="42" t="s">
        <v>25</v>
      </c>
      <c r="C38" s="16"/>
      <c r="D38" s="16"/>
      <c r="E38" s="16"/>
      <c r="F38" s="16"/>
      <c r="G38" s="15">
        <f t="shared" si="6"/>
        <v>0</v>
      </c>
      <c r="H38" s="14">
        <f>G38*91</f>
        <v>0</v>
      </c>
      <c r="I38" s="16"/>
      <c r="J38" s="16"/>
      <c r="K38" s="62"/>
      <c r="L38" s="16"/>
      <c r="M38" s="16"/>
      <c r="N38" s="16">
        <v>5</v>
      </c>
      <c r="O38" s="15">
        <f t="shared" si="7"/>
        <v>5</v>
      </c>
      <c r="P38" s="14">
        <f>O38*91</f>
        <v>455</v>
      </c>
      <c r="Q38" s="16"/>
      <c r="R38" s="16"/>
      <c r="S38" s="16"/>
      <c r="T38" s="16"/>
      <c r="U38" s="16"/>
      <c r="V38" s="16"/>
      <c r="W38" s="15">
        <f t="shared" si="8"/>
        <v>0</v>
      </c>
      <c r="X38" s="14">
        <f>W38*91</f>
        <v>0</v>
      </c>
      <c r="Y38" s="16" t="s">
        <v>65</v>
      </c>
      <c r="Z38" s="16"/>
      <c r="AA38" s="16"/>
      <c r="AB38" s="16"/>
      <c r="AC38" s="16"/>
      <c r="AD38" s="16"/>
      <c r="AE38" s="15">
        <f t="shared" si="5"/>
        <v>0</v>
      </c>
      <c r="AF38" s="14">
        <f>AE38*91</f>
        <v>0</v>
      </c>
      <c r="AG38" s="16"/>
      <c r="AH38" s="16"/>
      <c r="AI38" s="16"/>
      <c r="AJ38" s="16"/>
      <c r="AK38" s="16"/>
      <c r="AL38" s="15">
        <f t="shared" si="9"/>
        <v>0</v>
      </c>
      <c r="AM38" s="14">
        <f>AL38*91</f>
        <v>0</v>
      </c>
    </row>
    <row r="39" spans="2:43" x14ac:dyDescent="0.3">
      <c r="B39" s="42" t="s">
        <v>24</v>
      </c>
      <c r="C39" s="16"/>
      <c r="D39" s="16"/>
      <c r="E39" s="16"/>
      <c r="F39" s="16"/>
      <c r="G39" s="15">
        <f t="shared" si="6"/>
        <v>0</v>
      </c>
      <c r="H39" s="14">
        <f>G39*90</f>
        <v>0</v>
      </c>
      <c r="I39" s="16"/>
      <c r="J39" s="16"/>
      <c r="K39" s="62"/>
      <c r="L39" s="16"/>
      <c r="M39" s="16"/>
      <c r="N39" s="16">
        <v>10</v>
      </c>
      <c r="O39" s="15">
        <f t="shared" si="7"/>
        <v>10</v>
      </c>
      <c r="P39" s="14">
        <f>O39*90</f>
        <v>900</v>
      </c>
      <c r="Q39" s="16"/>
      <c r="R39" s="16"/>
      <c r="S39" s="16"/>
      <c r="T39" s="16"/>
      <c r="U39" s="16"/>
      <c r="V39" s="16"/>
      <c r="W39" s="15">
        <f t="shared" si="8"/>
        <v>0</v>
      </c>
      <c r="X39" s="14">
        <f>W39*90</f>
        <v>0</v>
      </c>
      <c r="Y39" s="16" t="s">
        <v>65</v>
      </c>
      <c r="Z39" s="16"/>
      <c r="AA39" s="16"/>
      <c r="AB39" s="16"/>
      <c r="AC39" s="16"/>
      <c r="AD39" s="16"/>
      <c r="AE39" s="15">
        <f t="shared" si="5"/>
        <v>0</v>
      </c>
      <c r="AF39" s="14">
        <f>AE39*90</f>
        <v>0</v>
      </c>
      <c r="AG39" s="16"/>
      <c r="AH39" s="16"/>
      <c r="AI39" s="16"/>
      <c r="AJ39" s="16"/>
      <c r="AK39" s="16"/>
      <c r="AL39" s="15">
        <f t="shared" si="9"/>
        <v>0</v>
      </c>
      <c r="AM39" s="14">
        <f>AL39*90</f>
        <v>0</v>
      </c>
    </row>
    <row r="40" spans="2:43" x14ac:dyDescent="0.3">
      <c r="B40" s="42" t="s">
        <v>23</v>
      </c>
      <c r="C40" s="16"/>
      <c r="D40" s="16"/>
      <c r="E40" s="16" t="s">
        <v>65</v>
      </c>
      <c r="F40" s="16"/>
      <c r="G40" s="15">
        <f t="shared" ref="G40:G47" si="10">SUM(C40:F40)</f>
        <v>0</v>
      </c>
      <c r="H40" s="14">
        <f>G40*76</f>
        <v>0</v>
      </c>
      <c r="I40" s="16"/>
      <c r="J40" s="16"/>
      <c r="K40" s="62"/>
      <c r="L40" s="16"/>
      <c r="M40" s="16"/>
      <c r="N40" s="16">
        <v>31</v>
      </c>
      <c r="O40" s="15">
        <f t="shared" si="7"/>
        <v>31</v>
      </c>
      <c r="P40" s="14">
        <f>O40*76</f>
        <v>2356</v>
      </c>
      <c r="Q40" s="16" t="s">
        <v>65</v>
      </c>
      <c r="R40" s="16"/>
      <c r="S40" s="16"/>
      <c r="T40" s="16"/>
      <c r="U40" s="16"/>
      <c r="V40" s="16"/>
      <c r="W40" s="15">
        <f t="shared" si="8"/>
        <v>0</v>
      </c>
      <c r="X40" s="14">
        <f>W40*76</f>
        <v>0</v>
      </c>
      <c r="Y40" s="16" t="s">
        <v>65</v>
      </c>
      <c r="Z40" s="16" t="s">
        <v>65</v>
      </c>
      <c r="AA40" s="16"/>
      <c r="AB40" s="16">
        <v>15</v>
      </c>
      <c r="AC40" s="16"/>
      <c r="AD40" s="16"/>
      <c r="AE40" s="15">
        <f t="shared" si="5"/>
        <v>15</v>
      </c>
      <c r="AF40" s="14">
        <f>AE40*76</f>
        <v>1140</v>
      </c>
      <c r="AG40" s="16"/>
      <c r="AH40" s="16"/>
      <c r="AI40" s="16"/>
      <c r="AJ40" s="16"/>
      <c r="AK40" s="16"/>
      <c r="AL40" s="15">
        <f t="shared" si="9"/>
        <v>0</v>
      </c>
      <c r="AM40" s="14">
        <f>AL40*76</f>
        <v>0</v>
      </c>
    </row>
    <row r="41" spans="2:43" x14ac:dyDescent="0.3">
      <c r="B41" s="42" t="s">
        <v>22</v>
      </c>
      <c r="C41" s="16"/>
      <c r="D41" s="16"/>
      <c r="E41" s="16" t="s">
        <v>65</v>
      </c>
      <c r="F41" s="16"/>
      <c r="G41" s="15">
        <f t="shared" si="10"/>
        <v>0</v>
      </c>
      <c r="H41" s="14">
        <f>G41*100</f>
        <v>0</v>
      </c>
      <c r="I41" s="16"/>
      <c r="J41" s="16"/>
      <c r="K41" s="62"/>
      <c r="L41" s="16"/>
      <c r="M41" s="16"/>
      <c r="N41" s="16"/>
      <c r="O41" s="15">
        <f t="shared" si="7"/>
        <v>0</v>
      </c>
      <c r="P41" s="14">
        <f>O41*100</f>
        <v>0</v>
      </c>
      <c r="Q41" s="16" t="s">
        <v>65</v>
      </c>
      <c r="R41" s="16"/>
      <c r="S41" s="16"/>
      <c r="T41" s="16"/>
      <c r="U41" s="16"/>
      <c r="V41" s="16"/>
      <c r="W41" s="15">
        <f t="shared" si="8"/>
        <v>0</v>
      </c>
      <c r="X41" s="14">
        <f>W41*100</f>
        <v>0</v>
      </c>
      <c r="Y41" s="16" t="s">
        <v>65</v>
      </c>
      <c r="Z41" s="16" t="s">
        <v>65</v>
      </c>
      <c r="AA41" s="16"/>
      <c r="AB41" s="16"/>
      <c r="AC41" s="16"/>
      <c r="AD41" s="16"/>
      <c r="AE41" s="15">
        <f t="shared" si="5"/>
        <v>0</v>
      </c>
      <c r="AF41" s="14">
        <f>AE41*100</f>
        <v>0</v>
      </c>
      <c r="AG41" s="16"/>
      <c r="AH41" s="16"/>
      <c r="AI41" s="16"/>
      <c r="AJ41" s="16"/>
      <c r="AK41" s="16"/>
      <c r="AL41" s="15">
        <f t="shared" si="9"/>
        <v>0</v>
      </c>
      <c r="AM41" s="14">
        <f>AL41*100</f>
        <v>0</v>
      </c>
    </row>
    <row r="42" spans="2:43" x14ac:dyDescent="0.3">
      <c r="B42" s="42" t="s">
        <v>21</v>
      </c>
      <c r="C42" s="16"/>
      <c r="D42" s="16"/>
      <c r="E42" s="16" t="s">
        <v>65</v>
      </c>
      <c r="F42" s="16"/>
      <c r="G42" s="15">
        <f t="shared" si="10"/>
        <v>0</v>
      </c>
      <c r="H42" s="14">
        <f>G42*100</f>
        <v>0</v>
      </c>
      <c r="I42" s="16"/>
      <c r="J42" s="16"/>
      <c r="K42" s="62"/>
      <c r="L42" s="16"/>
      <c r="M42" s="16"/>
      <c r="N42" s="16"/>
      <c r="O42" s="15">
        <f t="shared" si="7"/>
        <v>0</v>
      </c>
      <c r="P42" s="14">
        <f>O42*100</f>
        <v>0</v>
      </c>
      <c r="Q42" s="16" t="s">
        <v>65</v>
      </c>
      <c r="R42" s="16"/>
      <c r="S42" s="16"/>
      <c r="T42" s="16"/>
      <c r="U42" s="16"/>
      <c r="V42" s="16"/>
      <c r="W42" s="15">
        <f t="shared" si="8"/>
        <v>0</v>
      </c>
      <c r="X42" s="14">
        <f>W42*100</f>
        <v>0</v>
      </c>
      <c r="Y42" s="16" t="s">
        <v>65</v>
      </c>
      <c r="Z42" s="16" t="s">
        <v>65</v>
      </c>
      <c r="AA42" s="16"/>
      <c r="AB42" s="16"/>
      <c r="AC42" s="16"/>
      <c r="AD42" s="16"/>
      <c r="AE42" s="15">
        <f t="shared" si="5"/>
        <v>0</v>
      </c>
      <c r="AF42" s="14">
        <f>AE42*100</f>
        <v>0</v>
      </c>
      <c r="AG42" s="16"/>
      <c r="AH42" s="16"/>
      <c r="AI42" s="16"/>
      <c r="AJ42" s="16"/>
      <c r="AK42" s="16"/>
      <c r="AL42" s="15">
        <f t="shared" si="9"/>
        <v>0</v>
      </c>
      <c r="AM42" s="14">
        <f>AL42*100</f>
        <v>0</v>
      </c>
    </row>
    <row r="43" spans="2:43" x14ac:dyDescent="0.3">
      <c r="B43" s="42" t="s">
        <v>20</v>
      </c>
      <c r="C43" s="16"/>
      <c r="D43" s="16"/>
      <c r="E43" s="16"/>
      <c r="F43" s="16"/>
      <c r="G43" s="15">
        <f t="shared" si="10"/>
        <v>0</v>
      </c>
      <c r="H43" s="14">
        <f>G43*78</f>
        <v>0</v>
      </c>
      <c r="I43" s="16"/>
      <c r="J43" s="16"/>
      <c r="K43" s="62"/>
      <c r="L43" s="16"/>
      <c r="M43" s="16"/>
      <c r="N43" s="16">
        <v>25</v>
      </c>
      <c r="O43" s="15">
        <f t="shared" si="7"/>
        <v>25</v>
      </c>
      <c r="P43" s="14">
        <f>O43*78</f>
        <v>1950</v>
      </c>
      <c r="Q43" s="16" t="s">
        <v>65</v>
      </c>
      <c r="R43" s="16"/>
      <c r="S43" s="16"/>
      <c r="T43" s="16"/>
      <c r="U43" s="16"/>
      <c r="V43" s="16"/>
      <c r="W43" s="15">
        <f t="shared" si="8"/>
        <v>0</v>
      </c>
      <c r="X43" s="14">
        <f>W43*78</f>
        <v>0</v>
      </c>
      <c r="Y43" s="16"/>
      <c r="Z43" s="16"/>
      <c r="AA43" s="16"/>
      <c r="AB43" s="16"/>
      <c r="AC43" s="16"/>
      <c r="AD43" s="16"/>
      <c r="AE43" s="15">
        <f t="shared" si="5"/>
        <v>0</v>
      </c>
      <c r="AF43" s="14">
        <f>AE43*78</f>
        <v>0</v>
      </c>
      <c r="AG43" s="16"/>
      <c r="AH43" s="16"/>
      <c r="AI43" s="16"/>
      <c r="AJ43" s="16"/>
      <c r="AK43" s="16">
        <v>41</v>
      </c>
      <c r="AL43" s="15">
        <f t="shared" si="9"/>
        <v>41</v>
      </c>
      <c r="AM43" s="14">
        <f>AL43*78</f>
        <v>3198</v>
      </c>
    </row>
    <row r="44" spans="2:43" ht="15.6" x14ac:dyDescent="0.3">
      <c r="B44" s="17" t="s">
        <v>19</v>
      </c>
      <c r="C44" s="16"/>
      <c r="D44" s="16">
        <v>87</v>
      </c>
      <c r="E44" s="16">
        <v>20</v>
      </c>
      <c r="F44" s="16"/>
      <c r="G44" s="15">
        <f t="shared" si="10"/>
        <v>107</v>
      </c>
      <c r="H44" s="14">
        <f>G44*92</f>
        <v>9844</v>
      </c>
      <c r="I44" s="16">
        <v>10</v>
      </c>
      <c r="J44" s="16"/>
      <c r="K44" s="62"/>
      <c r="L44" s="16">
        <v>61</v>
      </c>
      <c r="M44" s="16">
        <v>20</v>
      </c>
      <c r="N44" s="16">
        <v>60</v>
      </c>
      <c r="O44" s="15">
        <f>SUM(I44:N44)</f>
        <v>151</v>
      </c>
      <c r="P44" s="14">
        <f>O44*92</f>
        <v>13892</v>
      </c>
      <c r="Q44" s="16"/>
      <c r="R44" s="16">
        <v>50</v>
      </c>
      <c r="S44" s="16">
        <v>10</v>
      </c>
      <c r="T44" s="16"/>
      <c r="U44" s="16"/>
      <c r="V44" s="16"/>
      <c r="W44" s="15">
        <f t="shared" si="8"/>
        <v>60</v>
      </c>
      <c r="X44" s="14">
        <f>W44*92</f>
        <v>5520</v>
      </c>
      <c r="Y44" s="16">
        <v>62</v>
      </c>
      <c r="Z44" s="16"/>
      <c r="AA44" s="16">
        <v>85</v>
      </c>
      <c r="AB44" s="16"/>
      <c r="AC44" s="16">
        <v>40</v>
      </c>
      <c r="AD44" s="16"/>
      <c r="AE44" s="15">
        <f t="shared" si="5"/>
        <v>187</v>
      </c>
      <c r="AF44" s="14">
        <f>AE44*92</f>
        <v>17204</v>
      </c>
      <c r="AG44" s="16"/>
      <c r="AH44" s="16">
        <v>79</v>
      </c>
      <c r="AI44" s="16"/>
      <c r="AJ44" s="16"/>
      <c r="AK44" s="16"/>
      <c r="AL44" s="15">
        <f t="shared" si="9"/>
        <v>79</v>
      </c>
      <c r="AM44" s="14">
        <f>AL44*92</f>
        <v>7268</v>
      </c>
      <c r="AO44" s="41"/>
      <c r="AP44" s="40"/>
    </row>
    <row r="45" spans="2:43" x14ac:dyDescent="0.3">
      <c r="B45" s="17" t="s">
        <v>18</v>
      </c>
      <c r="C45" s="16"/>
      <c r="D45" s="16"/>
      <c r="E45" s="16"/>
      <c r="F45" s="16"/>
      <c r="G45" s="15">
        <f t="shared" si="10"/>
        <v>0</v>
      </c>
      <c r="H45" s="14">
        <f>G45*95</f>
        <v>0</v>
      </c>
      <c r="I45" s="16">
        <v>55</v>
      </c>
      <c r="J45" s="16">
        <v>2</v>
      </c>
      <c r="K45" s="62"/>
      <c r="L45" s="16"/>
      <c r="M45" s="16"/>
      <c r="N45" s="16"/>
      <c r="O45" s="15">
        <f>SUM(I45:N45)</f>
        <v>57</v>
      </c>
      <c r="P45" s="14">
        <f>O45*95</f>
        <v>5415</v>
      </c>
      <c r="Q45" s="16"/>
      <c r="R45" s="16"/>
      <c r="S45" s="16">
        <v>32</v>
      </c>
      <c r="T45" s="16"/>
      <c r="U45" s="16"/>
      <c r="V45" s="16"/>
      <c r="W45" s="15">
        <f t="shared" si="8"/>
        <v>32</v>
      </c>
      <c r="X45" s="14">
        <f>W45*95</f>
        <v>3040</v>
      </c>
      <c r="Y45" s="16"/>
      <c r="Z45" s="16"/>
      <c r="AA45" s="16"/>
      <c r="AB45" s="16"/>
      <c r="AC45" s="16" t="s">
        <v>65</v>
      </c>
      <c r="AD45" s="16">
        <v>50</v>
      </c>
      <c r="AE45" s="15">
        <f t="shared" si="5"/>
        <v>50</v>
      </c>
      <c r="AF45" s="14">
        <f>AE45*95</f>
        <v>4750</v>
      </c>
      <c r="AG45" s="16"/>
      <c r="AH45" s="16"/>
      <c r="AI45" s="16"/>
      <c r="AJ45" s="16"/>
      <c r="AK45" s="16"/>
      <c r="AL45" s="15">
        <f t="shared" si="9"/>
        <v>0</v>
      </c>
      <c r="AM45" s="14">
        <f>AL45*95</f>
        <v>0</v>
      </c>
    </row>
    <row r="46" spans="2:43" x14ac:dyDescent="0.3">
      <c r="B46" s="17" t="s">
        <v>17</v>
      </c>
      <c r="C46" s="16">
        <v>20</v>
      </c>
      <c r="D46" s="16"/>
      <c r="E46" s="16"/>
      <c r="F46" s="16">
        <v>30</v>
      </c>
      <c r="G46" s="15">
        <f t="shared" si="10"/>
        <v>50</v>
      </c>
      <c r="H46" s="14">
        <f>G46*93</f>
        <v>4650</v>
      </c>
      <c r="I46" s="16">
        <v>15</v>
      </c>
      <c r="J46" s="16">
        <v>7</v>
      </c>
      <c r="K46" s="62"/>
      <c r="L46" s="16"/>
      <c r="M46" s="16">
        <v>30</v>
      </c>
      <c r="N46" s="16">
        <v>10</v>
      </c>
      <c r="O46" s="15">
        <f>SUM(I46:N46)</f>
        <v>62</v>
      </c>
      <c r="P46" s="14">
        <f>O46*93</f>
        <v>5766</v>
      </c>
      <c r="Q46" s="16">
        <v>6</v>
      </c>
      <c r="R46" s="16"/>
      <c r="S46" s="16">
        <v>10</v>
      </c>
      <c r="T46" s="16"/>
      <c r="U46" s="16"/>
      <c r="V46" s="16">
        <v>10</v>
      </c>
      <c r="W46" s="15">
        <f t="shared" si="8"/>
        <v>26</v>
      </c>
      <c r="X46" s="14">
        <f>W46*93</f>
        <v>2418</v>
      </c>
      <c r="Y46" s="16">
        <v>42</v>
      </c>
      <c r="Z46" s="16"/>
      <c r="AA46" s="16">
        <v>15</v>
      </c>
      <c r="AB46" s="16">
        <v>10</v>
      </c>
      <c r="AC46" s="16">
        <v>20</v>
      </c>
      <c r="AD46" s="16">
        <v>7</v>
      </c>
      <c r="AE46" s="15">
        <f t="shared" si="5"/>
        <v>94</v>
      </c>
      <c r="AF46" s="14">
        <f>AE46*93</f>
        <v>8742</v>
      </c>
      <c r="AG46" s="16">
        <v>3</v>
      </c>
      <c r="AH46" s="16">
        <v>20</v>
      </c>
      <c r="AI46" s="16"/>
      <c r="AJ46" s="16"/>
      <c r="AK46" s="16">
        <v>2</v>
      </c>
      <c r="AL46" s="15">
        <f t="shared" si="9"/>
        <v>25</v>
      </c>
      <c r="AM46" s="14">
        <f>AL46*93</f>
        <v>2325</v>
      </c>
    </row>
    <row r="47" spans="2:43" x14ac:dyDescent="0.3">
      <c r="B47" s="17" t="s">
        <v>14</v>
      </c>
      <c r="C47" s="16"/>
      <c r="D47" s="16"/>
      <c r="E47" s="16">
        <v>25</v>
      </c>
      <c r="F47" s="16">
        <v>15</v>
      </c>
      <c r="G47" s="15">
        <f t="shared" si="10"/>
        <v>40</v>
      </c>
      <c r="H47" s="14">
        <f>G47*52</f>
        <v>2080</v>
      </c>
      <c r="I47" s="16">
        <v>35</v>
      </c>
      <c r="J47" s="16">
        <v>22</v>
      </c>
      <c r="K47" s="62"/>
      <c r="L47" s="16">
        <v>15</v>
      </c>
      <c r="M47" s="16">
        <v>22</v>
      </c>
      <c r="N47" s="16">
        <v>50</v>
      </c>
      <c r="O47" s="15">
        <f>SUM(I47:N47)</f>
        <v>144</v>
      </c>
      <c r="P47" s="14">
        <f>O47*52</f>
        <v>7488</v>
      </c>
      <c r="Q47" s="16">
        <v>22</v>
      </c>
      <c r="R47" s="16">
        <v>35</v>
      </c>
      <c r="S47" s="16">
        <v>35</v>
      </c>
      <c r="T47" s="16">
        <v>20</v>
      </c>
      <c r="U47" s="16">
        <v>10</v>
      </c>
      <c r="V47" s="16">
        <v>7</v>
      </c>
      <c r="W47" s="15">
        <f t="shared" si="8"/>
        <v>129</v>
      </c>
      <c r="X47" s="14">
        <f>W47*52</f>
        <v>6708</v>
      </c>
      <c r="Y47" s="16">
        <v>16</v>
      </c>
      <c r="Z47" s="16">
        <v>10</v>
      </c>
      <c r="AA47" s="16">
        <v>35</v>
      </c>
      <c r="AB47" s="16">
        <v>13</v>
      </c>
      <c r="AC47" s="16">
        <v>35</v>
      </c>
      <c r="AD47" s="16">
        <v>20</v>
      </c>
      <c r="AE47" s="15">
        <f t="shared" si="5"/>
        <v>129</v>
      </c>
      <c r="AF47" s="14">
        <f>AE47*52</f>
        <v>6708</v>
      </c>
      <c r="AG47" s="16">
        <v>10</v>
      </c>
      <c r="AH47" s="16">
        <v>35</v>
      </c>
      <c r="AI47" s="16"/>
      <c r="AJ47" s="16"/>
      <c r="AK47" s="16">
        <v>20</v>
      </c>
      <c r="AL47" s="15">
        <f t="shared" si="9"/>
        <v>65</v>
      </c>
      <c r="AM47" s="14">
        <f>AL47*52</f>
        <v>3380</v>
      </c>
    </row>
    <row r="48" spans="2:43" ht="15.6" x14ac:dyDescent="0.3">
      <c r="C48" s="10"/>
      <c r="D48" s="10"/>
      <c r="E48" s="10"/>
      <c r="F48" s="10"/>
      <c r="G48" s="39">
        <f>SUM(G20:G43)</f>
        <v>94</v>
      </c>
      <c r="H48" s="38">
        <f>SUM(H20:H43)</f>
        <v>6685</v>
      </c>
      <c r="I48" s="10"/>
      <c r="J48" s="10"/>
      <c r="K48" s="10"/>
      <c r="L48" s="10"/>
      <c r="M48" s="10"/>
      <c r="N48" s="10"/>
      <c r="O48" s="39">
        <f>SUM(O20:O43)</f>
        <v>407</v>
      </c>
      <c r="P48" s="38">
        <f>SUM(P20:P43)</f>
        <v>26575</v>
      </c>
      <c r="Q48" s="10"/>
      <c r="R48" s="10"/>
      <c r="S48" s="10"/>
      <c r="T48" s="10"/>
      <c r="U48" s="10"/>
      <c r="V48" s="10"/>
      <c r="W48" s="39">
        <f>SUM(W20:W43)</f>
        <v>99</v>
      </c>
      <c r="X48" s="38">
        <f>SUM(X20:X43)</f>
        <v>8387</v>
      </c>
      <c r="Y48" s="10"/>
      <c r="Z48" s="10"/>
      <c r="AA48" s="10"/>
      <c r="AB48" s="10"/>
      <c r="AC48" s="10"/>
      <c r="AD48" s="10"/>
      <c r="AE48" s="39">
        <f>SUM(AE20:AE43)</f>
        <v>515</v>
      </c>
      <c r="AF48" s="38">
        <f>SUM(AF20:AF43)</f>
        <v>31355</v>
      </c>
      <c r="AG48" s="10"/>
      <c r="AH48" s="10"/>
      <c r="AI48" s="10"/>
      <c r="AJ48" s="10"/>
      <c r="AK48" s="10"/>
      <c r="AL48" s="39">
        <f>SUM(AL20:AL43)</f>
        <v>235</v>
      </c>
      <c r="AM48" s="38">
        <f>SUM(AM20:AM43)</f>
        <v>20584</v>
      </c>
      <c r="AO48" s="35" t="s">
        <v>15</v>
      </c>
      <c r="AP48" s="37">
        <f>G51+O51+W51+AE51+AL51</f>
        <v>980</v>
      </c>
      <c r="AQ48" s="30">
        <f>AP49/AP48</f>
        <v>92.687755102040811</v>
      </c>
    </row>
    <row r="49" spans="2:46" ht="15.6" x14ac:dyDescent="0.3">
      <c r="C49" s="32"/>
      <c r="D49" s="32"/>
      <c r="E49" s="32"/>
      <c r="F49" s="32"/>
      <c r="G49" s="36"/>
      <c r="H49" s="11"/>
      <c r="I49" s="32"/>
      <c r="J49" s="32"/>
      <c r="K49" s="32"/>
      <c r="L49" s="32"/>
      <c r="M49" s="32"/>
      <c r="N49" s="32"/>
      <c r="O49" s="36"/>
      <c r="P49" s="11"/>
      <c r="Q49" s="32"/>
      <c r="R49" s="32"/>
      <c r="S49" s="32"/>
      <c r="T49" s="32"/>
      <c r="U49" s="32"/>
      <c r="V49" s="32"/>
      <c r="W49" s="36"/>
      <c r="X49" s="11"/>
      <c r="Y49" s="32"/>
      <c r="Z49" s="32"/>
      <c r="AA49" s="32"/>
      <c r="AB49" s="32"/>
      <c r="AC49" s="32"/>
      <c r="AD49" s="32"/>
      <c r="AE49" s="36"/>
      <c r="AF49" s="11"/>
      <c r="AG49" s="32"/>
      <c r="AH49" s="32"/>
      <c r="AI49" s="32"/>
      <c r="AJ49" s="32"/>
      <c r="AK49" s="32"/>
      <c r="AL49" s="36"/>
      <c r="AM49" s="11"/>
      <c r="AO49" s="35" t="s">
        <v>3</v>
      </c>
      <c r="AP49" s="34">
        <f>H51+P51+X51+AF51+AM51</f>
        <v>90834</v>
      </c>
    </row>
    <row r="50" spans="2:46" ht="15.6" x14ac:dyDescent="0.3">
      <c r="B50" s="29" t="s">
        <v>13</v>
      </c>
      <c r="C50" s="32"/>
      <c r="D50" s="32"/>
      <c r="F50" s="32"/>
      <c r="G50" s="4">
        <f>G48+G19</f>
        <v>579</v>
      </c>
      <c r="H50" s="28">
        <f>H48+H19</f>
        <v>42650</v>
      </c>
      <c r="I50" s="32"/>
      <c r="J50" s="32"/>
      <c r="K50" s="32"/>
      <c r="L50" s="32"/>
      <c r="M50" s="32"/>
      <c r="N50" s="32"/>
      <c r="O50" s="4">
        <f>O48+O19</f>
        <v>1726</v>
      </c>
      <c r="P50" s="28">
        <f>P48+P19</f>
        <v>121800</v>
      </c>
      <c r="Q50" s="11">
        <f>P50/O50</f>
        <v>70.56778679026651</v>
      </c>
      <c r="R50" s="32"/>
      <c r="S50" s="32"/>
      <c r="U50" s="32"/>
      <c r="V50" s="11">
        <f>X50/W50</f>
        <v>76.522639068564033</v>
      </c>
      <c r="W50" s="4">
        <f>W48+W19</f>
        <v>773</v>
      </c>
      <c r="X50" s="28">
        <f>X48+X19</f>
        <v>59152</v>
      </c>
      <c r="Y50" s="32"/>
      <c r="AA50" s="32"/>
      <c r="AB50" s="32"/>
      <c r="AC50" s="32"/>
      <c r="AD50" s="11">
        <f>AF50/AE50</f>
        <v>67.982505248425468</v>
      </c>
      <c r="AE50" s="4">
        <f>AE48+AE19</f>
        <v>1429</v>
      </c>
      <c r="AF50" s="28">
        <f>AF48+AF19</f>
        <v>97147</v>
      </c>
      <c r="AG50" s="32"/>
      <c r="AH50" s="11"/>
      <c r="AI50" s="32"/>
      <c r="AJ50" s="32"/>
      <c r="AK50" s="11">
        <f>AM50/AL50</f>
        <v>78.228571428571428</v>
      </c>
      <c r="AL50" s="4">
        <f>AL48+AL19</f>
        <v>1015</v>
      </c>
      <c r="AM50" s="28">
        <f>AM48+AM19</f>
        <v>79402</v>
      </c>
    </row>
    <row r="51" spans="2:46" ht="15.6" x14ac:dyDescent="0.3">
      <c r="B51" s="29" t="s">
        <v>15</v>
      </c>
      <c r="C51" s="32"/>
      <c r="D51" s="32"/>
      <c r="E51" s="32"/>
      <c r="F51" s="32"/>
      <c r="G51" s="4">
        <f>SUM(G44:G46)</f>
        <v>157</v>
      </c>
      <c r="H51" s="28">
        <f>SUM(H44:H46)</f>
        <v>14494</v>
      </c>
      <c r="I51" s="32"/>
      <c r="J51" s="32"/>
      <c r="K51" s="32"/>
      <c r="L51" s="32"/>
      <c r="M51" s="32"/>
      <c r="N51" s="32"/>
      <c r="O51" s="4">
        <f>SUM(O44:O46)</f>
        <v>270</v>
      </c>
      <c r="P51" s="28">
        <f>SUM(P44:P46)</f>
        <v>25073</v>
      </c>
      <c r="Q51" s="32"/>
      <c r="R51" s="32"/>
      <c r="S51" s="32"/>
      <c r="T51" s="32"/>
      <c r="U51" s="32"/>
      <c r="V51" s="32"/>
      <c r="W51" s="4">
        <f>SUM(W44:W46)</f>
        <v>118</v>
      </c>
      <c r="X51" s="28">
        <f>SUM(X44:X46)</f>
        <v>10978</v>
      </c>
      <c r="Y51" s="32"/>
      <c r="Z51" s="32"/>
      <c r="AA51" s="32"/>
      <c r="AB51" s="32"/>
      <c r="AC51" s="32"/>
      <c r="AD51" s="32"/>
      <c r="AE51" s="4">
        <f>SUM(AE44:AE46)</f>
        <v>331</v>
      </c>
      <c r="AF51" s="28">
        <f>SUM(AF44:AF46)</f>
        <v>30696</v>
      </c>
      <c r="AG51" s="32"/>
      <c r="AH51" s="32"/>
      <c r="AI51" s="32"/>
      <c r="AJ51" s="32"/>
      <c r="AK51" s="32"/>
      <c r="AL51" s="4">
        <f>SUM(AL44:AL46)</f>
        <v>104</v>
      </c>
      <c r="AM51" s="28">
        <f>SUM(AM44:AM46)</f>
        <v>9593</v>
      </c>
      <c r="AO51" s="27" t="s">
        <v>14</v>
      </c>
      <c r="AP51" s="31">
        <f>G52+O52+W52+AE52+AL52</f>
        <v>507</v>
      </c>
      <c r="AQ51" s="30">
        <f>AP52/AP51</f>
        <v>52</v>
      </c>
    </row>
    <row r="52" spans="2:46" ht="15.6" x14ac:dyDescent="0.3">
      <c r="B52" s="29" t="s">
        <v>14</v>
      </c>
      <c r="G52" s="4">
        <f>G47</f>
        <v>40</v>
      </c>
      <c r="H52" s="28">
        <f>H47</f>
        <v>2080</v>
      </c>
      <c r="I52" s="32"/>
      <c r="O52" s="4">
        <f>O47</f>
        <v>144</v>
      </c>
      <c r="P52" s="28">
        <f>P47</f>
        <v>7488</v>
      </c>
      <c r="W52" s="4">
        <f>W47</f>
        <v>129</v>
      </c>
      <c r="X52" s="28">
        <f>X47</f>
        <v>6708</v>
      </c>
      <c r="AE52" s="4">
        <f>AE47</f>
        <v>129</v>
      </c>
      <c r="AF52" s="28">
        <f>AF47</f>
        <v>6708</v>
      </c>
      <c r="AL52" s="4">
        <f>AL47</f>
        <v>65</v>
      </c>
      <c r="AM52" s="28">
        <f>AM47</f>
        <v>3380</v>
      </c>
      <c r="AO52" s="27" t="s">
        <v>3</v>
      </c>
      <c r="AP52" s="26">
        <f>H52+P52+X52+AF52+AM52</f>
        <v>26364</v>
      </c>
    </row>
    <row r="53" spans="2:46" ht="15.6" x14ac:dyDescent="0.3">
      <c r="H53">
        <f>SUM(F53:G53)</f>
        <v>0</v>
      </c>
      <c r="I53" s="32">
        <f>H53*50</f>
        <v>0</v>
      </c>
    </row>
    <row r="55" spans="2:46" s="22" customFormat="1" ht="13.8" customHeight="1" x14ac:dyDescent="0.3">
      <c r="B55" s="25" t="s">
        <v>13</v>
      </c>
      <c r="C55" s="24">
        <v>45931</v>
      </c>
      <c r="D55" s="24">
        <v>45932</v>
      </c>
      <c r="E55" s="24">
        <v>45933</v>
      </c>
      <c r="F55" s="24">
        <v>45934</v>
      </c>
      <c r="G55" s="23" t="s">
        <v>12</v>
      </c>
      <c r="H55" s="23" t="s">
        <v>11</v>
      </c>
      <c r="I55" s="24">
        <v>45936</v>
      </c>
      <c r="J55" s="24">
        <v>45937</v>
      </c>
      <c r="K55" s="24">
        <v>45938</v>
      </c>
      <c r="L55" s="24">
        <v>45939</v>
      </c>
      <c r="M55" s="24">
        <v>45940</v>
      </c>
      <c r="N55" s="24">
        <v>45941</v>
      </c>
      <c r="O55" s="23" t="s">
        <v>12</v>
      </c>
      <c r="P55" s="23" t="s">
        <v>11</v>
      </c>
      <c r="Q55" s="24">
        <v>45915</v>
      </c>
      <c r="R55" s="24">
        <v>45916</v>
      </c>
      <c r="S55" s="24">
        <v>45917</v>
      </c>
      <c r="T55" s="24">
        <v>45918</v>
      </c>
      <c r="U55" s="24">
        <v>45919</v>
      </c>
      <c r="V55" s="24">
        <v>45920</v>
      </c>
      <c r="W55" s="23" t="s">
        <v>12</v>
      </c>
      <c r="X55" s="23" t="s">
        <v>11</v>
      </c>
      <c r="Y55" s="24">
        <v>45950</v>
      </c>
      <c r="Z55" s="24">
        <v>45951</v>
      </c>
      <c r="AA55" s="24">
        <v>45952</v>
      </c>
      <c r="AB55" s="24">
        <v>45953</v>
      </c>
      <c r="AC55" s="24">
        <v>45954</v>
      </c>
      <c r="AD55" s="24">
        <v>45955</v>
      </c>
      <c r="AE55" s="23" t="s">
        <v>12</v>
      </c>
      <c r="AF55" s="23" t="s">
        <v>11</v>
      </c>
      <c r="AG55" s="24">
        <v>45957</v>
      </c>
      <c r="AH55" s="24">
        <v>45958</v>
      </c>
      <c r="AI55" s="24">
        <v>45959</v>
      </c>
      <c r="AJ55" s="24">
        <v>45960</v>
      </c>
      <c r="AK55" s="24">
        <v>45961</v>
      </c>
      <c r="AL55" s="23" t="s">
        <v>12</v>
      </c>
      <c r="AM55" s="23" t="s">
        <v>11</v>
      </c>
    </row>
    <row r="56" spans="2:46" ht="15" customHeight="1" x14ac:dyDescent="0.3">
      <c r="B56" s="17" t="s">
        <v>10</v>
      </c>
      <c r="C56" s="16">
        <v>315</v>
      </c>
      <c r="D56" s="16">
        <v>210</v>
      </c>
      <c r="E56" s="16">
        <v>20</v>
      </c>
      <c r="F56" s="16">
        <v>285</v>
      </c>
      <c r="G56" s="15">
        <f t="shared" ref="G56:G61" si="11">SUM(C56:F56)</f>
        <v>830</v>
      </c>
      <c r="H56" s="14">
        <f>G56*95</f>
        <v>78850</v>
      </c>
      <c r="I56" s="16">
        <v>250</v>
      </c>
      <c r="J56" s="16">
        <v>117</v>
      </c>
      <c r="K56" s="62"/>
      <c r="L56" s="16">
        <v>325</v>
      </c>
      <c r="M56" s="16">
        <v>255</v>
      </c>
      <c r="N56" s="16">
        <v>90</v>
      </c>
      <c r="O56" s="15">
        <f t="shared" ref="O56:O61" si="12">SUM(I56:N56)</f>
        <v>1037</v>
      </c>
      <c r="P56" s="14">
        <f>O56*95</f>
        <v>98515</v>
      </c>
      <c r="Q56" s="16">
        <v>159</v>
      </c>
      <c r="R56" s="16">
        <v>220</v>
      </c>
      <c r="S56" s="16">
        <v>190</v>
      </c>
      <c r="T56" s="16">
        <v>166</v>
      </c>
      <c r="U56" s="16">
        <v>100</v>
      </c>
      <c r="V56" s="16">
        <v>63</v>
      </c>
      <c r="W56" s="15">
        <f t="shared" ref="W56:W61" si="13">SUM(Q56:V56)</f>
        <v>898</v>
      </c>
      <c r="X56" s="14">
        <f>W56*95</f>
        <v>85310</v>
      </c>
      <c r="Y56" s="16">
        <v>238</v>
      </c>
      <c r="Z56" s="16">
        <v>160</v>
      </c>
      <c r="AA56" s="16">
        <v>130</v>
      </c>
      <c r="AB56" s="16">
        <v>379</v>
      </c>
      <c r="AC56" s="16">
        <v>285</v>
      </c>
      <c r="AD56" s="16">
        <v>183</v>
      </c>
      <c r="AE56" s="15">
        <f t="shared" ref="AE56:AE61" si="14">SUM(Y56:AD56)</f>
        <v>1375</v>
      </c>
      <c r="AF56" s="14">
        <f>AE56*95</f>
        <v>130625</v>
      </c>
      <c r="AG56" s="16">
        <v>67</v>
      </c>
      <c r="AH56" s="16">
        <v>220</v>
      </c>
      <c r="AI56" s="16">
        <v>165</v>
      </c>
      <c r="AJ56" s="16"/>
      <c r="AK56" s="16">
        <v>236</v>
      </c>
      <c r="AL56" s="15">
        <f t="shared" ref="AL56:AL61" si="15">SUM(AG56:AK56)</f>
        <v>688</v>
      </c>
      <c r="AM56" s="14">
        <f>AL56*95</f>
        <v>65360</v>
      </c>
    </row>
    <row r="57" spans="2:46" x14ac:dyDescent="0.3">
      <c r="B57" s="17" t="s">
        <v>9</v>
      </c>
      <c r="C57" s="16">
        <v>325</v>
      </c>
      <c r="D57" s="16">
        <v>161</v>
      </c>
      <c r="E57" s="16">
        <v>80</v>
      </c>
      <c r="F57" s="16">
        <v>321</v>
      </c>
      <c r="G57" s="15">
        <f t="shared" si="11"/>
        <v>887</v>
      </c>
      <c r="H57" s="14">
        <f>G57*93</f>
        <v>82491</v>
      </c>
      <c r="I57" s="16">
        <v>260</v>
      </c>
      <c r="J57" s="16">
        <v>74</v>
      </c>
      <c r="K57" s="62"/>
      <c r="L57" s="16">
        <v>495</v>
      </c>
      <c r="M57" s="16">
        <v>230</v>
      </c>
      <c r="N57" s="16">
        <v>164</v>
      </c>
      <c r="O57" s="15">
        <f t="shared" si="12"/>
        <v>1223</v>
      </c>
      <c r="P57" s="14">
        <f>O57*93</f>
        <v>113739</v>
      </c>
      <c r="Q57" s="16">
        <v>63</v>
      </c>
      <c r="R57" s="16">
        <v>231</v>
      </c>
      <c r="S57" s="16">
        <v>240</v>
      </c>
      <c r="T57" s="16">
        <v>226</v>
      </c>
      <c r="U57" s="16">
        <v>100</v>
      </c>
      <c r="V57" s="16">
        <v>70</v>
      </c>
      <c r="W57" s="15">
        <f t="shared" si="13"/>
        <v>930</v>
      </c>
      <c r="X57" s="14">
        <f>W57*93</f>
        <v>86490</v>
      </c>
      <c r="Y57" s="16">
        <v>216</v>
      </c>
      <c r="Z57" s="16">
        <v>145</v>
      </c>
      <c r="AA57" s="16">
        <v>181</v>
      </c>
      <c r="AB57" s="16">
        <v>419</v>
      </c>
      <c r="AC57" s="16">
        <v>290</v>
      </c>
      <c r="AD57" s="16">
        <v>160</v>
      </c>
      <c r="AE57" s="15">
        <f t="shared" si="14"/>
        <v>1411</v>
      </c>
      <c r="AF57" s="14">
        <f>AE57*93</f>
        <v>131223</v>
      </c>
      <c r="AG57" s="16">
        <v>44</v>
      </c>
      <c r="AH57" s="16">
        <v>170</v>
      </c>
      <c r="AI57" s="16">
        <v>415</v>
      </c>
      <c r="AJ57" s="16"/>
      <c r="AK57" s="16">
        <v>231</v>
      </c>
      <c r="AL57" s="15">
        <f t="shared" si="15"/>
        <v>860</v>
      </c>
      <c r="AM57" s="14">
        <f>AL57*93</f>
        <v>79980</v>
      </c>
    </row>
    <row r="58" spans="2:46" ht="15.6" x14ac:dyDescent="0.3">
      <c r="B58" s="17" t="s">
        <v>8</v>
      </c>
      <c r="C58" s="16">
        <v>50</v>
      </c>
      <c r="D58" s="16">
        <v>29</v>
      </c>
      <c r="E58" s="16"/>
      <c r="F58" s="16">
        <v>40</v>
      </c>
      <c r="G58" s="15">
        <f t="shared" si="11"/>
        <v>119</v>
      </c>
      <c r="H58" s="14">
        <f>G58*95</f>
        <v>11305</v>
      </c>
      <c r="I58" s="16">
        <v>30</v>
      </c>
      <c r="J58" s="16">
        <v>84</v>
      </c>
      <c r="K58" s="62"/>
      <c r="L58" s="16">
        <v>60</v>
      </c>
      <c r="M58" s="16">
        <v>61</v>
      </c>
      <c r="N58" s="16">
        <v>40</v>
      </c>
      <c r="O58" s="15">
        <f t="shared" si="12"/>
        <v>275</v>
      </c>
      <c r="P58" s="14">
        <f>O58*95</f>
        <v>26125</v>
      </c>
      <c r="Q58" s="16">
        <v>54</v>
      </c>
      <c r="R58" s="16">
        <v>48</v>
      </c>
      <c r="S58" s="16">
        <v>20</v>
      </c>
      <c r="T58" s="16">
        <v>35</v>
      </c>
      <c r="U58" s="16">
        <v>10</v>
      </c>
      <c r="V58" s="16">
        <v>5</v>
      </c>
      <c r="W58" s="15">
        <f t="shared" si="13"/>
        <v>172</v>
      </c>
      <c r="X58" s="14">
        <f>W58*95</f>
        <v>16340</v>
      </c>
      <c r="Y58" s="16">
        <v>57</v>
      </c>
      <c r="Z58" s="16">
        <v>85</v>
      </c>
      <c r="AA58" s="16">
        <v>20</v>
      </c>
      <c r="AB58" s="16">
        <v>72</v>
      </c>
      <c r="AC58" s="16">
        <v>100</v>
      </c>
      <c r="AD58" s="16">
        <v>35</v>
      </c>
      <c r="AE58" s="15">
        <f t="shared" si="14"/>
        <v>369</v>
      </c>
      <c r="AF58" s="14">
        <f>AE58*95</f>
        <v>35055</v>
      </c>
      <c r="AG58" s="16">
        <v>8</v>
      </c>
      <c r="AH58" s="16">
        <v>45</v>
      </c>
      <c r="AI58" s="16">
        <v>10</v>
      </c>
      <c r="AJ58" s="16"/>
      <c r="AK58" s="16">
        <v>47</v>
      </c>
      <c r="AL58" s="15">
        <f t="shared" si="15"/>
        <v>110</v>
      </c>
      <c r="AM58" s="14">
        <f>AL58*95</f>
        <v>10450</v>
      </c>
      <c r="AO58" s="19" t="s">
        <v>7</v>
      </c>
      <c r="AP58" s="21">
        <f>G64+O64+W64+AE64+AL64</f>
        <v>11184</v>
      </c>
      <c r="AQ58" s="11">
        <f>AP59/AP58</f>
        <v>94.050250357653795</v>
      </c>
      <c r="AT58">
        <f>ABRIL!AO58-OCTUBRE!AP58</f>
        <v>-755</v>
      </c>
    </row>
    <row r="59" spans="2:46" ht="15.6" x14ac:dyDescent="0.3">
      <c r="B59" s="17" t="s">
        <v>6</v>
      </c>
      <c r="C59" s="16" t="s">
        <v>65</v>
      </c>
      <c r="D59" s="16">
        <v>6</v>
      </c>
      <c r="E59" s="16">
        <v>3</v>
      </c>
      <c r="F59" s="16">
        <v>1</v>
      </c>
      <c r="G59" s="15">
        <f t="shared" si="11"/>
        <v>10</v>
      </c>
      <c r="H59" s="14">
        <f>G59*79</f>
        <v>790</v>
      </c>
      <c r="I59" s="16">
        <v>3</v>
      </c>
      <c r="J59" s="16">
        <v>1</v>
      </c>
      <c r="K59" s="62"/>
      <c r="L59" s="16">
        <v>5</v>
      </c>
      <c r="M59" s="16">
        <v>5</v>
      </c>
      <c r="N59" s="16" t="s">
        <v>65</v>
      </c>
      <c r="O59" s="15">
        <f t="shared" si="12"/>
        <v>14</v>
      </c>
      <c r="P59" s="14">
        <f>O59*79</f>
        <v>1106</v>
      </c>
      <c r="Q59" s="16">
        <v>1</v>
      </c>
      <c r="R59" s="16">
        <v>8</v>
      </c>
      <c r="S59" s="16">
        <v>5</v>
      </c>
      <c r="T59" s="16" t="s">
        <v>65</v>
      </c>
      <c r="U59" s="16"/>
      <c r="V59" s="16">
        <v>10</v>
      </c>
      <c r="W59" s="15">
        <f t="shared" si="13"/>
        <v>24</v>
      </c>
      <c r="X59" s="14">
        <f>W59*79</f>
        <v>1896</v>
      </c>
      <c r="Y59" s="16">
        <v>2</v>
      </c>
      <c r="Z59" s="16">
        <v>10</v>
      </c>
      <c r="AA59" s="16">
        <v>5</v>
      </c>
      <c r="AB59" s="16" t="s">
        <v>65</v>
      </c>
      <c r="AC59" s="16">
        <v>17</v>
      </c>
      <c r="AD59" s="16" t="s">
        <v>65</v>
      </c>
      <c r="AE59" s="15">
        <f t="shared" si="14"/>
        <v>34</v>
      </c>
      <c r="AF59" s="14">
        <f>AE59*79</f>
        <v>2686</v>
      </c>
      <c r="AG59" s="16">
        <v>7</v>
      </c>
      <c r="AH59" s="16">
        <v>17</v>
      </c>
      <c r="AI59" s="16"/>
      <c r="AJ59" s="16">
        <v>1</v>
      </c>
      <c r="AK59" s="16"/>
      <c r="AL59" s="15">
        <f t="shared" si="15"/>
        <v>25</v>
      </c>
      <c r="AM59" s="14">
        <f>AL59*79</f>
        <v>1975</v>
      </c>
      <c r="AO59" s="19" t="s">
        <v>3</v>
      </c>
      <c r="AP59" s="18">
        <f>H64+P64+X64+AF64+AM64</f>
        <v>1051858</v>
      </c>
    </row>
    <row r="60" spans="2:46" x14ac:dyDescent="0.3">
      <c r="B60" s="17" t="s">
        <v>4</v>
      </c>
      <c r="C60" s="16">
        <v>30</v>
      </c>
      <c r="D60" s="16">
        <v>69</v>
      </c>
      <c r="E60" s="16">
        <v>20</v>
      </c>
      <c r="F60" s="16">
        <v>69</v>
      </c>
      <c r="G60" s="15">
        <f t="shared" si="11"/>
        <v>188</v>
      </c>
      <c r="H60" s="14">
        <f>G60*100</f>
        <v>18800</v>
      </c>
      <c r="I60" s="16">
        <v>40</v>
      </c>
      <c r="J60" s="16">
        <v>2</v>
      </c>
      <c r="K60" s="62"/>
      <c r="L60" s="16">
        <v>250</v>
      </c>
      <c r="M60" s="16">
        <v>25</v>
      </c>
      <c r="N60" s="16">
        <v>92</v>
      </c>
      <c r="O60" s="15">
        <f t="shared" si="12"/>
        <v>409</v>
      </c>
      <c r="P60" s="14">
        <f>O60*100</f>
        <v>40900</v>
      </c>
      <c r="Q60" s="16">
        <v>3</v>
      </c>
      <c r="R60" s="16">
        <v>82</v>
      </c>
      <c r="S60" s="16">
        <v>185</v>
      </c>
      <c r="T60" s="16">
        <v>20</v>
      </c>
      <c r="U60" s="16">
        <v>30</v>
      </c>
      <c r="V60" s="16">
        <v>13</v>
      </c>
      <c r="W60" s="15">
        <f t="shared" si="13"/>
        <v>333</v>
      </c>
      <c r="X60" s="14">
        <f>W60*100</f>
        <v>33300</v>
      </c>
      <c r="Y60" s="16">
        <v>102</v>
      </c>
      <c r="Z60" s="16">
        <v>20</v>
      </c>
      <c r="AA60" s="16">
        <v>41</v>
      </c>
      <c r="AB60" s="16">
        <v>26</v>
      </c>
      <c r="AC60" s="16">
        <v>75</v>
      </c>
      <c r="AD60" s="16">
        <v>27</v>
      </c>
      <c r="AE60" s="15">
        <f t="shared" si="14"/>
        <v>291</v>
      </c>
      <c r="AF60" s="14">
        <f>AE60*100</f>
        <v>29100</v>
      </c>
      <c r="AG60" s="16">
        <v>117</v>
      </c>
      <c r="AH60" s="16">
        <v>120</v>
      </c>
      <c r="AI60" s="16">
        <v>150</v>
      </c>
      <c r="AJ60" s="16"/>
      <c r="AK60" s="16">
        <v>287</v>
      </c>
      <c r="AL60" s="15">
        <f t="shared" si="15"/>
        <v>674</v>
      </c>
      <c r="AM60" s="14">
        <f>AL60*100</f>
        <v>67400</v>
      </c>
    </row>
    <row r="61" spans="2:46" ht="15.6" x14ac:dyDescent="0.3">
      <c r="B61" s="17" t="s">
        <v>5</v>
      </c>
      <c r="C61" s="16"/>
      <c r="D61" s="16">
        <v>2</v>
      </c>
      <c r="E61" s="16">
        <v>100</v>
      </c>
      <c r="F61" s="16">
        <v>1</v>
      </c>
      <c r="G61" s="15">
        <f t="shared" si="11"/>
        <v>103</v>
      </c>
      <c r="H61" s="14">
        <f>G61*91</f>
        <v>9373</v>
      </c>
      <c r="I61" s="16"/>
      <c r="J61" s="16">
        <v>20</v>
      </c>
      <c r="K61" s="62"/>
      <c r="L61" s="16"/>
      <c r="M61" s="16"/>
      <c r="N61" s="16"/>
      <c r="O61" s="15">
        <f t="shared" si="12"/>
        <v>20</v>
      </c>
      <c r="P61" s="14">
        <f>O61*91</f>
        <v>1820</v>
      </c>
      <c r="Q61" s="16">
        <v>230</v>
      </c>
      <c r="R61" s="16"/>
      <c r="S61" s="16"/>
      <c r="T61" s="16"/>
      <c r="U61" s="16"/>
      <c r="V61" s="16"/>
      <c r="W61" s="15">
        <f t="shared" si="13"/>
        <v>230</v>
      </c>
      <c r="X61" s="14">
        <f>W61*90</f>
        <v>20700</v>
      </c>
      <c r="Y61" s="16"/>
      <c r="Z61" s="16">
        <v>100</v>
      </c>
      <c r="AA61" s="16"/>
      <c r="AB61" s="16">
        <v>25</v>
      </c>
      <c r="AC61" s="16">
        <v>130</v>
      </c>
      <c r="AD61" s="16"/>
      <c r="AE61" s="15">
        <f t="shared" si="14"/>
        <v>255</v>
      </c>
      <c r="AF61" s="14">
        <f>AE61*91</f>
        <v>23205</v>
      </c>
      <c r="AG61" s="16">
        <v>5</v>
      </c>
      <c r="AH61" s="16">
        <v>147</v>
      </c>
      <c r="AI61" s="16">
        <v>3</v>
      </c>
      <c r="AJ61" s="16"/>
      <c r="AK61" s="16">
        <v>10</v>
      </c>
      <c r="AL61" s="15">
        <f t="shared" si="15"/>
        <v>165</v>
      </c>
      <c r="AM61" s="14">
        <f>AL61*91</f>
        <v>15015</v>
      </c>
      <c r="AO61" s="13" t="s">
        <v>4</v>
      </c>
      <c r="AP61" s="12">
        <f>G60+O60+W60+AE60+AL60</f>
        <v>1895</v>
      </c>
      <c r="AQ61" s="11">
        <f>AP62/AP61</f>
        <v>100</v>
      </c>
    </row>
    <row r="62" spans="2:46" ht="15.6" x14ac:dyDescent="0.3">
      <c r="C62" s="10"/>
      <c r="D62" s="10"/>
      <c r="E62" s="10"/>
      <c r="F62" s="10"/>
      <c r="G62" s="9">
        <f>SUM(G56:G61)</f>
        <v>2137</v>
      </c>
      <c r="H62" s="8">
        <f>SUM(H56:H61)</f>
        <v>201609</v>
      </c>
      <c r="I62" s="10"/>
      <c r="J62" s="10"/>
      <c r="K62" s="10"/>
      <c r="L62" s="10"/>
      <c r="M62" s="10"/>
      <c r="N62" s="10"/>
      <c r="O62" s="9">
        <f>SUM(O56:O61)</f>
        <v>2978</v>
      </c>
      <c r="P62" s="8">
        <f>SUM(P56:P61)</f>
        <v>282205</v>
      </c>
      <c r="Q62" s="10"/>
      <c r="R62" s="10"/>
      <c r="S62" s="10"/>
      <c r="T62" s="10"/>
      <c r="U62" s="10"/>
      <c r="V62" s="10"/>
      <c r="W62" s="9">
        <f>SUM(W56:W61)</f>
        <v>2587</v>
      </c>
      <c r="X62" s="8">
        <f>SUM(X56:X61)</f>
        <v>244036</v>
      </c>
      <c r="Y62" s="10"/>
      <c r="Z62" s="10"/>
      <c r="AA62" s="10"/>
      <c r="AB62" s="10"/>
      <c r="AC62" s="10"/>
      <c r="AD62" s="10"/>
      <c r="AE62" s="9">
        <f>SUM(AE56:AE61)</f>
        <v>3735</v>
      </c>
      <c r="AF62" s="8">
        <f>SUM(AF56:AF61)</f>
        <v>351894</v>
      </c>
      <c r="AG62" s="10"/>
      <c r="AH62" s="10"/>
      <c r="AI62" s="10"/>
      <c r="AJ62" s="10"/>
      <c r="AK62" s="10"/>
      <c r="AL62" s="9">
        <f>SUM(AL56:AL61)</f>
        <v>2522</v>
      </c>
      <c r="AM62" s="8">
        <f>SUM(AM56:AM61)</f>
        <v>240180</v>
      </c>
      <c r="AO62" s="7" t="s">
        <v>3</v>
      </c>
      <c r="AP62" s="6">
        <f>X60+H60+P60+AF60+AM60</f>
        <v>189500</v>
      </c>
    </row>
    <row r="64" spans="2:46" ht="15.6" x14ac:dyDescent="0.3">
      <c r="G64" s="4">
        <f>G56+G57+G58</f>
        <v>1836</v>
      </c>
      <c r="H64" s="3">
        <f>H56+H57+H58</f>
        <v>172646</v>
      </c>
      <c r="O64" s="4">
        <f>O56+O57+O58</f>
        <v>2535</v>
      </c>
      <c r="P64" s="3">
        <f>P56+P57+P58</f>
        <v>238379</v>
      </c>
      <c r="W64" s="4">
        <f>W56+W57+W58</f>
        <v>2000</v>
      </c>
      <c r="X64" s="3">
        <f>X56+X57+X58</f>
        <v>188140</v>
      </c>
      <c r="AE64" s="4">
        <f>AE56+AE57+AE58</f>
        <v>3155</v>
      </c>
      <c r="AF64" s="3">
        <f>AF56+AF57+AF58</f>
        <v>296903</v>
      </c>
      <c r="AL64" s="4">
        <f>AL56+AL57+AL58</f>
        <v>1658</v>
      </c>
      <c r="AM64" s="3">
        <f>AM56+AM57+AM58</f>
        <v>155790</v>
      </c>
    </row>
    <row r="66" spans="41:42" x14ac:dyDescent="0.3">
      <c r="AO66" s="2" t="s">
        <v>1</v>
      </c>
      <c r="AP66" s="1">
        <f>AP62+AP59+AP20</f>
        <v>1641509</v>
      </c>
    </row>
  </sheetData>
  <mergeCells count="2">
    <mergeCell ref="AT3:AU3"/>
    <mergeCell ref="AO24:AP24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0E4B-20F9-4B2A-BE16-291790E45E26}">
  <dimension ref="B3:AP66"/>
  <sheetViews>
    <sheetView zoomScale="110" zoomScaleNormal="110" workbookViewId="0">
      <pane xSplit="2" ySplit="3" topLeftCell="AF10" activePane="bottomRight" state="frozen"/>
      <selection activeCell="O60" sqref="O60"/>
      <selection pane="topRight" activeCell="O60" sqref="O60"/>
      <selection pane="bottomLeft" activeCell="O60" sqref="O60"/>
      <selection pane="bottomRight" activeCell="AL18" sqref="AL18"/>
    </sheetView>
  </sheetViews>
  <sheetFormatPr baseColWidth="10" defaultRowHeight="14.4" x14ac:dyDescent="0.3"/>
  <cols>
    <col min="1" max="1" width="5.6640625" customWidth="1"/>
    <col min="2" max="2" width="18.33203125" customWidth="1"/>
    <col min="9" max="9" width="13.33203125" customWidth="1"/>
    <col min="10" max="10" width="16.109375" customWidth="1"/>
    <col min="17" max="17" width="13.33203125" customWidth="1"/>
    <col min="18" max="18" width="16.109375" customWidth="1"/>
    <col min="25" max="25" width="13.33203125" customWidth="1"/>
    <col min="26" max="26" width="20.21875" customWidth="1"/>
    <col min="27" max="28" width="11.5546875" customWidth="1"/>
    <col min="33" max="33" width="13.33203125" customWidth="1"/>
    <col min="34" max="34" width="20.21875" customWidth="1"/>
    <col min="35" max="35" width="6.5546875" customWidth="1"/>
    <col min="36" max="36" width="15.33203125" customWidth="1"/>
    <col min="37" max="37" width="19.109375" customWidth="1"/>
    <col min="38" max="38" width="13.88671875" customWidth="1"/>
    <col min="40" max="40" width="9.77734375" customWidth="1"/>
    <col min="41" max="41" width="17.109375" customWidth="1"/>
    <col min="42" max="42" width="19.5546875" customWidth="1"/>
  </cols>
  <sheetData>
    <row r="3" spans="2:42" s="22" customFormat="1" ht="13.8" customHeight="1" x14ac:dyDescent="0.3">
      <c r="B3" s="25" t="s">
        <v>13</v>
      </c>
      <c r="C3" s="24">
        <v>45964</v>
      </c>
      <c r="D3" s="24">
        <v>45965</v>
      </c>
      <c r="E3" s="24">
        <v>45966</v>
      </c>
      <c r="F3" s="24">
        <v>45967</v>
      </c>
      <c r="G3" s="24">
        <v>45968</v>
      </c>
      <c r="H3" s="24">
        <v>45969</v>
      </c>
      <c r="I3" s="23" t="s">
        <v>63</v>
      </c>
      <c r="J3" s="23" t="s">
        <v>11</v>
      </c>
      <c r="K3" s="24">
        <v>45971</v>
      </c>
      <c r="L3" s="24">
        <v>45972</v>
      </c>
      <c r="M3" s="24">
        <v>45973</v>
      </c>
      <c r="N3" s="24">
        <v>45974</v>
      </c>
      <c r="O3" s="24">
        <v>45975</v>
      </c>
      <c r="P3" s="24">
        <v>45976</v>
      </c>
      <c r="Q3" s="23" t="s">
        <v>63</v>
      </c>
      <c r="R3" s="23" t="s">
        <v>11</v>
      </c>
      <c r="S3" s="24">
        <v>45978</v>
      </c>
      <c r="T3" s="24">
        <v>45979</v>
      </c>
      <c r="U3" s="24">
        <v>45980</v>
      </c>
      <c r="V3" s="24">
        <v>45981</v>
      </c>
      <c r="W3" s="24">
        <v>45982</v>
      </c>
      <c r="X3" s="24">
        <v>45983</v>
      </c>
      <c r="Y3" s="23" t="s">
        <v>63</v>
      </c>
      <c r="Z3" s="23" t="s">
        <v>11</v>
      </c>
      <c r="AA3" s="24">
        <v>45985</v>
      </c>
      <c r="AB3" s="24">
        <v>45986</v>
      </c>
      <c r="AC3" s="24">
        <v>45987</v>
      </c>
      <c r="AD3" s="24">
        <v>45988</v>
      </c>
      <c r="AE3" s="24">
        <v>45989</v>
      </c>
      <c r="AF3" s="24">
        <v>45990</v>
      </c>
      <c r="AG3" s="23" t="s">
        <v>63</v>
      </c>
      <c r="AH3" s="23" t="s">
        <v>11</v>
      </c>
      <c r="AO3" s="68" t="s">
        <v>74</v>
      </c>
      <c r="AP3" s="69"/>
    </row>
    <row r="4" spans="2:42" ht="15.6" customHeight="1" x14ac:dyDescent="0.3">
      <c r="B4" s="17" t="s">
        <v>62</v>
      </c>
      <c r="C4" s="16">
        <v>15</v>
      </c>
      <c r="D4" s="16">
        <v>8</v>
      </c>
      <c r="E4" s="16">
        <v>20</v>
      </c>
      <c r="F4" s="16">
        <v>65</v>
      </c>
      <c r="G4" s="16">
        <v>68</v>
      </c>
      <c r="H4" s="16">
        <v>85</v>
      </c>
      <c r="I4" s="15">
        <f>SUM(C4:H4)</f>
        <v>261</v>
      </c>
      <c r="J4" s="14">
        <f>I4*60</f>
        <v>15660</v>
      </c>
      <c r="K4" s="16">
        <v>16</v>
      </c>
      <c r="L4" s="16">
        <v>25</v>
      </c>
      <c r="M4" s="16">
        <v>100</v>
      </c>
      <c r="N4" s="16">
        <v>45</v>
      </c>
      <c r="O4" s="16">
        <v>26</v>
      </c>
      <c r="P4" s="16" t="s">
        <v>65</v>
      </c>
      <c r="Q4" s="15">
        <f>SUM(K4:P4)</f>
        <v>212</v>
      </c>
      <c r="R4" s="14">
        <f>Q4*60</f>
        <v>12720</v>
      </c>
      <c r="S4" s="16">
        <v>35</v>
      </c>
      <c r="T4" s="16">
        <v>17</v>
      </c>
      <c r="U4" s="16">
        <v>15</v>
      </c>
      <c r="V4" s="16">
        <v>10</v>
      </c>
      <c r="W4" s="16">
        <v>41</v>
      </c>
      <c r="X4" s="16">
        <v>15</v>
      </c>
      <c r="Y4" s="15">
        <f>SUM(S4:X4)</f>
        <v>133</v>
      </c>
      <c r="Z4" s="14">
        <f>Y4*60</f>
        <v>7980</v>
      </c>
      <c r="AA4" s="67">
        <v>31</v>
      </c>
      <c r="AB4" s="16">
        <v>14</v>
      </c>
      <c r="AC4" s="16">
        <v>50</v>
      </c>
      <c r="AD4" s="16">
        <v>5</v>
      </c>
      <c r="AE4" s="16" t="s">
        <v>65</v>
      </c>
      <c r="AF4" s="16">
        <v>55</v>
      </c>
      <c r="AG4" s="15">
        <f>SUM(AA4:AF4)</f>
        <v>155</v>
      </c>
      <c r="AH4" s="14">
        <f>AG4*60</f>
        <v>9300</v>
      </c>
      <c r="AO4" s="60" t="s">
        <v>48</v>
      </c>
      <c r="AP4" s="48">
        <f>AK19</f>
        <v>6374</v>
      </c>
    </row>
    <row r="5" spans="2:42" ht="15.6" x14ac:dyDescent="0.3">
      <c r="B5" s="17" t="s">
        <v>61</v>
      </c>
      <c r="C5" s="16">
        <v>25</v>
      </c>
      <c r="D5" s="16">
        <v>26</v>
      </c>
      <c r="E5" s="16">
        <v>20</v>
      </c>
      <c r="F5" s="16">
        <v>60</v>
      </c>
      <c r="G5" s="16">
        <v>45</v>
      </c>
      <c r="H5" s="16">
        <v>63</v>
      </c>
      <c r="I5" s="15">
        <f t="shared" ref="I5:I18" si="0">SUM(C5:H5)</f>
        <v>239</v>
      </c>
      <c r="J5" s="14">
        <f>I5*60</f>
        <v>14340</v>
      </c>
      <c r="K5" s="16">
        <v>13</v>
      </c>
      <c r="L5" s="16" t="s">
        <v>65</v>
      </c>
      <c r="M5" s="16" t="s">
        <v>65</v>
      </c>
      <c r="N5" s="16">
        <v>20</v>
      </c>
      <c r="O5" s="16">
        <v>66</v>
      </c>
      <c r="P5" s="16" t="s">
        <v>65</v>
      </c>
      <c r="Q5" s="15">
        <f t="shared" ref="Q5:Q18" si="1">SUM(K5:P5)</f>
        <v>99</v>
      </c>
      <c r="R5" s="14">
        <f>Q5*60</f>
        <v>5940</v>
      </c>
      <c r="S5" s="16">
        <v>20</v>
      </c>
      <c r="T5" s="16">
        <v>14</v>
      </c>
      <c r="U5" s="16">
        <v>10</v>
      </c>
      <c r="V5" s="16">
        <v>15</v>
      </c>
      <c r="W5" s="16">
        <v>61</v>
      </c>
      <c r="X5" s="16" t="s">
        <v>65</v>
      </c>
      <c r="Y5" s="15">
        <f t="shared" ref="Y5:Y18" si="2">SUM(S5:X5)</f>
        <v>120</v>
      </c>
      <c r="Z5" s="14">
        <f>Y5*60</f>
        <v>7200</v>
      </c>
      <c r="AA5" s="16">
        <v>33</v>
      </c>
      <c r="AB5" s="16">
        <v>14</v>
      </c>
      <c r="AC5" s="16">
        <v>50</v>
      </c>
      <c r="AD5" s="16">
        <v>23</v>
      </c>
      <c r="AE5" s="16">
        <v>10</v>
      </c>
      <c r="AF5" s="16">
        <v>40</v>
      </c>
      <c r="AG5" s="15">
        <f t="shared" ref="AG5:AG18" si="3">SUM(AA5:AF5)</f>
        <v>170</v>
      </c>
      <c r="AH5" s="14">
        <f>AG5*60</f>
        <v>10200</v>
      </c>
      <c r="AO5" s="60" t="s">
        <v>3</v>
      </c>
      <c r="AP5" s="46">
        <f>AK20</f>
        <v>457141</v>
      </c>
    </row>
    <row r="6" spans="2:42" ht="15.6" x14ac:dyDescent="0.3">
      <c r="B6" s="17" t="s">
        <v>60</v>
      </c>
      <c r="C6" s="16">
        <v>5</v>
      </c>
      <c r="D6" s="16">
        <v>9</v>
      </c>
      <c r="E6" s="16">
        <v>2</v>
      </c>
      <c r="F6" s="16">
        <v>15</v>
      </c>
      <c r="G6" s="16">
        <v>15</v>
      </c>
      <c r="H6" s="16">
        <v>20</v>
      </c>
      <c r="I6" s="15">
        <f t="shared" si="0"/>
        <v>66</v>
      </c>
      <c r="J6" s="14">
        <f>I6*61</f>
        <v>4026</v>
      </c>
      <c r="K6" s="16" t="s">
        <v>65</v>
      </c>
      <c r="L6" s="16">
        <v>9</v>
      </c>
      <c r="M6" s="16">
        <v>50</v>
      </c>
      <c r="N6" s="16">
        <v>5</v>
      </c>
      <c r="O6" s="16" t="s">
        <v>65</v>
      </c>
      <c r="P6" s="16"/>
      <c r="Q6" s="15">
        <f t="shared" si="1"/>
        <v>64</v>
      </c>
      <c r="R6" s="14">
        <f>Q6*61</f>
        <v>3904</v>
      </c>
      <c r="S6" s="16" t="s">
        <v>65</v>
      </c>
      <c r="T6" s="16">
        <v>30</v>
      </c>
      <c r="U6" s="16" t="s">
        <v>65</v>
      </c>
      <c r="V6" s="16" t="s">
        <v>65</v>
      </c>
      <c r="W6" s="16">
        <v>10</v>
      </c>
      <c r="X6" s="16">
        <v>20</v>
      </c>
      <c r="Y6" s="15">
        <f t="shared" si="2"/>
        <v>60</v>
      </c>
      <c r="Z6" s="14">
        <f>Y6*61</f>
        <v>3660</v>
      </c>
      <c r="AA6" s="16">
        <v>10</v>
      </c>
      <c r="AB6" s="16" t="s">
        <v>65</v>
      </c>
      <c r="AC6" s="16" t="s">
        <v>65</v>
      </c>
      <c r="AD6" s="16">
        <v>13</v>
      </c>
      <c r="AE6" s="16" t="s">
        <v>65</v>
      </c>
      <c r="AF6" s="16">
        <v>10</v>
      </c>
      <c r="AG6" s="15">
        <f t="shared" si="3"/>
        <v>33</v>
      </c>
      <c r="AH6" s="14">
        <f>AG6*61</f>
        <v>2013</v>
      </c>
      <c r="AO6" s="59" t="s">
        <v>15</v>
      </c>
      <c r="AP6" s="37">
        <f>AK48</f>
        <v>866</v>
      </c>
    </row>
    <row r="7" spans="2:42" ht="15.6" x14ac:dyDescent="0.3">
      <c r="B7" s="17" t="s">
        <v>59</v>
      </c>
      <c r="C7" s="16">
        <v>15</v>
      </c>
      <c r="D7" s="16">
        <v>6</v>
      </c>
      <c r="E7" s="16" t="s">
        <v>65</v>
      </c>
      <c r="F7" s="16">
        <v>50</v>
      </c>
      <c r="G7" s="16">
        <v>23</v>
      </c>
      <c r="H7" s="16">
        <v>18</v>
      </c>
      <c r="I7" s="15">
        <f t="shared" si="0"/>
        <v>112</v>
      </c>
      <c r="J7" s="14">
        <f>I7*60</f>
        <v>6720</v>
      </c>
      <c r="K7" s="16">
        <v>2</v>
      </c>
      <c r="L7" s="16">
        <v>10</v>
      </c>
      <c r="M7" s="16" t="s">
        <v>65</v>
      </c>
      <c r="N7" s="16">
        <v>30</v>
      </c>
      <c r="O7" s="16" t="s">
        <v>65</v>
      </c>
      <c r="P7" s="16"/>
      <c r="Q7" s="15">
        <f t="shared" si="1"/>
        <v>42</v>
      </c>
      <c r="R7" s="14">
        <f>Q7*60</f>
        <v>2520</v>
      </c>
      <c r="S7" s="16">
        <v>15</v>
      </c>
      <c r="T7" s="16">
        <v>7</v>
      </c>
      <c r="U7" s="16">
        <v>2</v>
      </c>
      <c r="V7" s="16">
        <v>10</v>
      </c>
      <c r="W7" s="16">
        <v>21</v>
      </c>
      <c r="X7" s="16">
        <v>15</v>
      </c>
      <c r="Y7" s="15">
        <f t="shared" si="2"/>
        <v>70</v>
      </c>
      <c r="Z7" s="14">
        <f>Y7*60</f>
        <v>4200</v>
      </c>
      <c r="AA7" s="16">
        <v>5</v>
      </c>
      <c r="AB7" s="16">
        <v>5</v>
      </c>
      <c r="AC7" s="16" t="s">
        <v>65</v>
      </c>
      <c r="AD7" s="16" t="s">
        <v>65</v>
      </c>
      <c r="AE7" s="16">
        <v>10</v>
      </c>
      <c r="AF7" s="16">
        <v>25</v>
      </c>
      <c r="AG7" s="15">
        <f t="shared" si="3"/>
        <v>45</v>
      </c>
      <c r="AH7" s="14">
        <f>AG7*60</f>
        <v>2700</v>
      </c>
      <c r="AO7" s="59" t="s">
        <v>3</v>
      </c>
      <c r="AP7" s="34">
        <f>AK49</f>
        <v>80152</v>
      </c>
    </row>
    <row r="8" spans="2:42" ht="15.6" x14ac:dyDescent="0.3">
      <c r="B8" s="17" t="s">
        <v>58</v>
      </c>
      <c r="C8" s="16">
        <v>20</v>
      </c>
      <c r="D8" s="16">
        <v>18</v>
      </c>
      <c r="E8" s="16">
        <v>5</v>
      </c>
      <c r="F8" s="16">
        <v>45</v>
      </c>
      <c r="G8" s="16">
        <v>35</v>
      </c>
      <c r="H8" s="16">
        <v>12</v>
      </c>
      <c r="I8" s="15">
        <f t="shared" si="0"/>
        <v>135</v>
      </c>
      <c r="J8" s="14">
        <f>I8*60</f>
        <v>8100</v>
      </c>
      <c r="K8" s="16">
        <v>3</v>
      </c>
      <c r="L8" s="16">
        <v>20</v>
      </c>
      <c r="M8" s="16" t="s">
        <v>65</v>
      </c>
      <c r="N8" s="16">
        <v>50</v>
      </c>
      <c r="O8" s="16" t="s">
        <v>65</v>
      </c>
      <c r="P8" s="16">
        <v>10</v>
      </c>
      <c r="Q8" s="15">
        <f t="shared" si="1"/>
        <v>83</v>
      </c>
      <c r="R8" s="14">
        <f>Q8*60</f>
        <v>4980</v>
      </c>
      <c r="S8" s="16">
        <v>11</v>
      </c>
      <c r="T8" s="16">
        <v>15</v>
      </c>
      <c r="U8" s="16">
        <v>5</v>
      </c>
      <c r="V8" s="16">
        <v>10</v>
      </c>
      <c r="W8" s="16">
        <v>21</v>
      </c>
      <c r="X8" s="16">
        <v>15</v>
      </c>
      <c r="Y8" s="15">
        <f t="shared" si="2"/>
        <v>77</v>
      </c>
      <c r="Z8" s="14">
        <f>Y8*60</f>
        <v>4620</v>
      </c>
      <c r="AA8" s="16">
        <v>28</v>
      </c>
      <c r="AB8" s="16">
        <v>10</v>
      </c>
      <c r="AC8" s="16" t="s">
        <v>65</v>
      </c>
      <c r="AD8" s="16" t="s">
        <v>65</v>
      </c>
      <c r="AE8" s="16">
        <v>10</v>
      </c>
      <c r="AF8" s="16">
        <v>35</v>
      </c>
      <c r="AG8" s="15">
        <f t="shared" si="3"/>
        <v>83</v>
      </c>
      <c r="AH8" s="14">
        <f>AG8*60</f>
        <v>4980</v>
      </c>
      <c r="AO8" s="58" t="s">
        <v>14</v>
      </c>
      <c r="AP8" s="31">
        <f>AK51</f>
        <v>527</v>
      </c>
    </row>
    <row r="9" spans="2:42" ht="15.6" x14ac:dyDescent="0.3">
      <c r="B9" s="17" t="s">
        <v>57</v>
      </c>
      <c r="C9" s="16">
        <v>25</v>
      </c>
      <c r="D9" s="16" t="s">
        <v>65</v>
      </c>
      <c r="E9" s="16" t="s">
        <v>65</v>
      </c>
      <c r="F9" s="16">
        <v>12</v>
      </c>
      <c r="G9" s="16" t="s">
        <v>65</v>
      </c>
      <c r="H9" s="16">
        <v>2</v>
      </c>
      <c r="I9" s="15">
        <f t="shared" si="0"/>
        <v>39</v>
      </c>
      <c r="J9" s="14">
        <f>I9*60</f>
        <v>2340</v>
      </c>
      <c r="K9" s="16">
        <v>3</v>
      </c>
      <c r="L9" s="16" t="s">
        <v>65</v>
      </c>
      <c r="M9" s="16">
        <v>70</v>
      </c>
      <c r="N9" s="16" t="s">
        <v>65</v>
      </c>
      <c r="O9" s="16">
        <v>3</v>
      </c>
      <c r="P9" s="16">
        <v>4</v>
      </c>
      <c r="Q9" s="15">
        <f t="shared" si="1"/>
        <v>80</v>
      </c>
      <c r="R9" s="14">
        <f>Q9*60</f>
        <v>4800</v>
      </c>
      <c r="S9" s="16">
        <v>5</v>
      </c>
      <c r="T9" s="16">
        <v>9</v>
      </c>
      <c r="U9" s="16">
        <v>5</v>
      </c>
      <c r="V9" s="16">
        <v>26</v>
      </c>
      <c r="W9" s="16">
        <v>10</v>
      </c>
      <c r="X9" s="16">
        <v>1</v>
      </c>
      <c r="Y9" s="15">
        <f t="shared" si="2"/>
        <v>56</v>
      </c>
      <c r="Z9" s="14">
        <f>Y9*60</f>
        <v>3360</v>
      </c>
      <c r="AA9" s="16">
        <v>5</v>
      </c>
      <c r="AB9" s="16" t="s">
        <v>65</v>
      </c>
      <c r="AC9" s="16" t="s">
        <v>65</v>
      </c>
      <c r="AD9" s="16">
        <v>2</v>
      </c>
      <c r="AE9" s="16" t="s">
        <v>65</v>
      </c>
      <c r="AF9" s="16">
        <v>10</v>
      </c>
      <c r="AG9" s="15">
        <f t="shared" si="3"/>
        <v>17</v>
      </c>
      <c r="AH9" s="14">
        <f>AG9*60</f>
        <v>1020</v>
      </c>
      <c r="AO9" s="58" t="s">
        <v>3</v>
      </c>
      <c r="AP9" s="26">
        <f>AK52</f>
        <v>27404</v>
      </c>
    </row>
    <row r="10" spans="2:42" ht="15.6" x14ac:dyDescent="0.3">
      <c r="B10" s="17" t="s">
        <v>56</v>
      </c>
      <c r="C10" s="16">
        <v>23</v>
      </c>
      <c r="D10" s="16">
        <v>2</v>
      </c>
      <c r="E10" s="16">
        <v>1</v>
      </c>
      <c r="F10" s="16">
        <v>6</v>
      </c>
      <c r="G10" s="16">
        <v>14</v>
      </c>
      <c r="H10" s="16">
        <v>26</v>
      </c>
      <c r="I10" s="15">
        <f t="shared" si="0"/>
        <v>72</v>
      </c>
      <c r="J10" s="14">
        <f>I10*60</f>
        <v>4320</v>
      </c>
      <c r="K10" s="16">
        <v>3</v>
      </c>
      <c r="L10" s="16">
        <v>1</v>
      </c>
      <c r="M10" s="16">
        <v>10</v>
      </c>
      <c r="N10" s="16">
        <v>1</v>
      </c>
      <c r="O10" s="16">
        <v>5</v>
      </c>
      <c r="P10" s="16">
        <v>5</v>
      </c>
      <c r="Q10" s="15">
        <f t="shared" si="1"/>
        <v>25</v>
      </c>
      <c r="R10" s="14">
        <f>Q10*60</f>
        <v>1500</v>
      </c>
      <c r="S10" s="16">
        <v>18</v>
      </c>
      <c r="T10" s="16">
        <v>11</v>
      </c>
      <c r="U10" s="16">
        <v>5</v>
      </c>
      <c r="V10" s="16">
        <v>7</v>
      </c>
      <c r="W10" s="16">
        <v>13</v>
      </c>
      <c r="X10" s="16" t="s">
        <v>65</v>
      </c>
      <c r="Y10" s="15">
        <f t="shared" si="2"/>
        <v>54</v>
      </c>
      <c r="Z10" s="14">
        <f>Y10*60</f>
        <v>3240</v>
      </c>
      <c r="AA10" s="16" t="s">
        <v>65</v>
      </c>
      <c r="AB10" s="16">
        <v>1</v>
      </c>
      <c r="AC10" s="16">
        <v>5</v>
      </c>
      <c r="AD10" s="16">
        <v>12</v>
      </c>
      <c r="AE10" s="16" t="s">
        <v>65</v>
      </c>
      <c r="AF10" s="16">
        <v>20</v>
      </c>
      <c r="AG10" s="15">
        <f t="shared" si="3"/>
        <v>38</v>
      </c>
      <c r="AH10" s="14">
        <f>AG10*60</f>
        <v>2280</v>
      </c>
      <c r="AO10" s="57" t="s">
        <v>7</v>
      </c>
      <c r="AP10" s="21">
        <f>AK58</f>
        <v>9895</v>
      </c>
    </row>
    <row r="11" spans="2:42" ht="15.6" x14ac:dyDescent="0.3">
      <c r="B11" s="17" t="s">
        <v>55</v>
      </c>
      <c r="C11" s="16" t="s">
        <v>65</v>
      </c>
      <c r="D11" s="16" t="s">
        <v>65</v>
      </c>
      <c r="E11" s="16" t="s">
        <v>65</v>
      </c>
      <c r="F11" s="16">
        <v>5</v>
      </c>
      <c r="G11" s="16">
        <v>5</v>
      </c>
      <c r="H11" s="16" t="s">
        <v>65</v>
      </c>
      <c r="I11" s="15">
        <f t="shared" si="0"/>
        <v>10</v>
      </c>
      <c r="J11" s="14">
        <f>I11*65</f>
        <v>650</v>
      </c>
      <c r="K11" s="16">
        <v>1</v>
      </c>
      <c r="L11" s="16" t="s">
        <v>65</v>
      </c>
      <c r="M11" s="16" t="s">
        <v>65</v>
      </c>
      <c r="N11" s="16"/>
      <c r="O11" s="16">
        <v>2</v>
      </c>
      <c r="P11" s="16">
        <v>1</v>
      </c>
      <c r="Q11" s="15">
        <f t="shared" si="1"/>
        <v>4</v>
      </c>
      <c r="R11" s="14">
        <f>Q11*65</f>
        <v>260</v>
      </c>
      <c r="S11" s="16">
        <v>3</v>
      </c>
      <c r="T11" s="16">
        <v>3</v>
      </c>
      <c r="U11" s="16">
        <v>11</v>
      </c>
      <c r="V11" s="16" t="s">
        <v>65</v>
      </c>
      <c r="W11" s="16">
        <v>18</v>
      </c>
      <c r="X11" s="16" t="s">
        <v>65</v>
      </c>
      <c r="Y11" s="15">
        <f t="shared" si="2"/>
        <v>35</v>
      </c>
      <c r="Z11" s="14">
        <f>Y11*65</f>
        <v>2275</v>
      </c>
      <c r="AA11" s="16">
        <v>1</v>
      </c>
      <c r="AB11" s="16" t="s">
        <v>65</v>
      </c>
      <c r="AC11" s="16">
        <v>41</v>
      </c>
      <c r="AD11" s="16">
        <v>1</v>
      </c>
      <c r="AE11" s="16">
        <v>1</v>
      </c>
      <c r="AF11" s="16" t="s">
        <v>65</v>
      </c>
      <c r="AG11" s="15">
        <f t="shared" si="3"/>
        <v>44</v>
      </c>
      <c r="AH11" s="14">
        <f>AG11*65</f>
        <v>2860</v>
      </c>
      <c r="AO11" s="57" t="s">
        <v>3</v>
      </c>
      <c r="AP11" s="18">
        <f>AK59</f>
        <v>876928</v>
      </c>
    </row>
    <row r="12" spans="2:42" ht="15.6" x14ac:dyDescent="0.3">
      <c r="B12" s="17" t="s">
        <v>54</v>
      </c>
      <c r="C12" s="16">
        <v>15</v>
      </c>
      <c r="D12" s="16">
        <v>3</v>
      </c>
      <c r="E12" s="16">
        <v>1</v>
      </c>
      <c r="F12" s="16" t="s">
        <v>65</v>
      </c>
      <c r="G12" s="16">
        <v>6</v>
      </c>
      <c r="H12" s="16" t="s">
        <v>65</v>
      </c>
      <c r="I12" s="15">
        <f t="shared" si="0"/>
        <v>25</v>
      </c>
      <c r="J12" s="14">
        <f>I12*65</f>
        <v>1625</v>
      </c>
      <c r="K12" s="16">
        <v>2</v>
      </c>
      <c r="L12" s="16" t="s">
        <v>65</v>
      </c>
      <c r="M12" s="16">
        <v>1</v>
      </c>
      <c r="N12" s="16"/>
      <c r="O12" s="16">
        <v>2</v>
      </c>
      <c r="P12" s="16">
        <v>1</v>
      </c>
      <c r="Q12" s="15">
        <f t="shared" si="1"/>
        <v>6</v>
      </c>
      <c r="R12" s="14">
        <f>Q12*65</f>
        <v>390</v>
      </c>
      <c r="S12" s="20">
        <v>1</v>
      </c>
      <c r="T12" s="16">
        <v>1</v>
      </c>
      <c r="U12" s="16">
        <v>1</v>
      </c>
      <c r="V12" s="16" t="s">
        <v>65</v>
      </c>
      <c r="W12" s="16">
        <v>18</v>
      </c>
      <c r="X12" s="16" t="s">
        <v>65</v>
      </c>
      <c r="Y12" s="15">
        <f t="shared" si="2"/>
        <v>21</v>
      </c>
      <c r="Z12" s="14">
        <f>Y12*65</f>
        <v>1365</v>
      </c>
      <c r="AA12" s="16">
        <v>1</v>
      </c>
      <c r="AB12" s="16" t="s">
        <v>65</v>
      </c>
      <c r="AC12" s="16" t="s">
        <v>65</v>
      </c>
      <c r="AD12" s="16" t="s">
        <v>65</v>
      </c>
      <c r="AE12" s="16" t="s">
        <v>65</v>
      </c>
      <c r="AF12" s="16">
        <v>5</v>
      </c>
      <c r="AG12" s="15">
        <f t="shared" si="3"/>
        <v>6</v>
      </c>
      <c r="AH12" s="14">
        <f>AG12*65</f>
        <v>390</v>
      </c>
      <c r="AO12" s="56" t="s">
        <v>4</v>
      </c>
      <c r="AP12" s="12">
        <f>AK61</f>
        <v>1257</v>
      </c>
    </row>
    <row r="13" spans="2:42" ht="15.6" x14ac:dyDescent="0.3">
      <c r="B13" s="17" t="s">
        <v>40</v>
      </c>
      <c r="C13" s="16">
        <v>48</v>
      </c>
      <c r="D13" s="16">
        <v>11</v>
      </c>
      <c r="E13" s="16">
        <v>5</v>
      </c>
      <c r="F13" s="16">
        <v>35</v>
      </c>
      <c r="G13" s="16">
        <v>30</v>
      </c>
      <c r="H13" s="16">
        <v>11</v>
      </c>
      <c r="I13" s="15">
        <f t="shared" si="0"/>
        <v>140</v>
      </c>
      <c r="J13" s="14">
        <f>I13*95</f>
        <v>13300</v>
      </c>
      <c r="K13" s="16">
        <v>48</v>
      </c>
      <c r="L13" s="16">
        <v>10</v>
      </c>
      <c r="M13" s="16">
        <v>75</v>
      </c>
      <c r="N13" s="16">
        <v>10</v>
      </c>
      <c r="O13" s="16">
        <v>24</v>
      </c>
      <c r="P13" s="16">
        <v>10</v>
      </c>
      <c r="Q13" s="15">
        <f t="shared" si="1"/>
        <v>177</v>
      </c>
      <c r="R13" s="14">
        <f>Q13*95</f>
        <v>16815</v>
      </c>
      <c r="S13" s="16">
        <v>46</v>
      </c>
      <c r="T13" s="16">
        <v>82</v>
      </c>
      <c r="U13" s="16">
        <v>47</v>
      </c>
      <c r="V13" s="16">
        <v>11</v>
      </c>
      <c r="W13" s="16">
        <v>44</v>
      </c>
      <c r="X13" s="16">
        <v>10</v>
      </c>
      <c r="Y13" s="15">
        <f t="shared" si="2"/>
        <v>240</v>
      </c>
      <c r="Z13" s="14">
        <f>Y13*95</f>
        <v>22800</v>
      </c>
      <c r="AA13" s="16" t="s">
        <v>65</v>
      </c>
      <c r="AB13" s="16">
        <v>36</v>
      </c>
      <c r="AC13" s="16" t="s">
        <v>65</v>
      </c>
      <c r="AD13" s="16">
        <v>15</v>
      </c>
      <c r="AE13" s="16" t="s">
        <v>65</v>
      </c>
      <c r="AF13" s="16">
        <v>30</v>
      </c>
      <c r="AG13" s="15">
        <f t="shared" si="3"/>
        <v>81</v>
      </c>
      <c r="AH13" s="14">
        <f>AG13*95</f>
        <v>7695</v>
      </c>
      <c r="AO13" s="55" t="s">
        <v>3</v>
      </c>
      <c r="AP13" s="6">
        <f>AK62</f>
        <v>116901</v>
      </c>
    </row>
    <row r="14" spans="2:42" x14ac:dyDescent="0.3">
      <c r="B14" s="17" t="s">
        <v>53</v>
      </c>
      <c r="C14" s="16">
        <v>48</v>
      </c>
      <c r="D14" s="16">
        <v>1</v>
      </c>
      <c r="E14" s="16">
        <v>5</v>
      </c>
      <c r="F14" s="16">
        <v>10</v>
      </c>
      <c r="G14" s="16">
        <v>53</v>
      </c>
      <c r="H14" s="16">
        <v>10</v>
      </c>
      <c r="I14" s="15">
        <f t="shared" si="0"/>
        <v>127</v>
      </c>
      <c r="J14" s="14">
        <f>I14*105</f>
        <v>13335</v>
      </c>
      <c r="K14" s="16">
        <v>14</v>
      </c>
      <c r="L14" s="16">
        <v>15</v>
      </c>
      <c r="M14" s="16">
        <v>10</v>
      </c>
      <c r="N14" s="16">
        <v>15</v>
      </c>
      <c r="O14" s="16">
        <v>10</v>
      </c>
      <c r="P14" s="16">
        <v>10</v>
      </c>
      <c r="Q14" s="15">
        <f>SUM(K14:P14)</f>
        <v>74</v>
      </c>
      <c r="R14" s="14">
        <f>Q14*105</f>
        <v>7770</v>
      </c>
      <c r="S14" s="16">
        <v>26</v>
      </c>
      <c r="T14" s="16">
        <v>23</v>
      </c>
      <c r="U14" s="16">
        <v>11</v>
      </c>
      <c r="V14" s="16">
        <v>12</v>
      </c>
      <c r="W14" s="16">
        <v>16</v>
      </c>
      <c r="X14" s="16">
        <v>10</v>
      </c>
      <c r="Y14" s="15">
        <f t="shared" si="2"/>
        <v>98</v>
      </c>
      <c r="Z14" s="14">
        <f>Y14*105</f>
        <v>10290</v>
      </c>
      <c r="AA14" s="16">
        <v>28</v>
      </c>
      <c r="AB14" s="16">
        <v>53</v>
      </c>
      <c r="AC14" s="16">
        <v>55</v>
      </c>
      <c r="AD14" s="16">
        <v>16</v>
      </c>
      <c r="AE14" s="16" t="s">
        <v>65</v>
      </c>
      <c r="AF14" s="16">
        <v>25</v>
      </c>
      <c r="AG14" s="15">
        <f t="shared" si="3"/>
        <v>177</v>
      </c>
      <c r="AH14" s="14">
        <f>AG14*105</f>
        <v>18585</v>
      </c>
      <c r="AO14" s="10"/>
    </row>
    <row r="15" spans="2:42" ht="15.6" x14ac:dyDescent="0.3">
      <c r="B15" s="17" t="s">
        <v>52</v>
      </c>
      <c r="C15" s="16">
        <v>10</v>
      </c>
      <c r="D15" s="16">
        <v>1</v>
      </c>
      <c r="E15" s="16"/>
      <c r="F15" s="16">
        <v>12</v>
      </c>
      <c r="G15" s="16">
        <v>30</v>
      </c>
      <c r="H15" s="16">
        <v>10</v>
      </c>
      <c r="I15" s="15">
        <f t="shared" si="0"/>
        <v>63</v>
      </c>
      <c r="J15" s="14">
        <f>I15*110</f>
        <v>6930</v>
      </c>
      <c r="K15" s="16">
        <v>4</v>
      </c>
      <c r="L15" s="16"/>
      <c r="M15" s="16"/>
      <c r="N15" s="16">
        <v>3</v>
      </c>
      <c r="O15" s="16"/>
      <c r="P15" s="16"/>
      <c r="Q15" s="15">
        <f t="shared" si="1"/>
        <v>7</v>
      </c>
      <c r="R15" s="14">
        <f>Q15*110</f>
        <v>770</v>
      </c>
      <c r="S15" s="16">
        <v>3</v>
      </c>
      <c r="T15" s="16">
        <v>4</v>
      </c>
      <c r="U15" s="16">
        <v>12</v>
      </c>
      <c r="V15" s="16">
        <v>7</v>
      </c>
      <c r="W15" s="16"/>
      <c r="X15" s="16" t="s">
        <v>65</v>
      </c>
      <c r="Y15" s="15">
        <f t="shared" si="2"/>
        <v>26</v>
      </c>
      <c r="Z15" s="14">
        <f>Y15*110</f>
        <v>2860</v>
      </c>
      <c r="AA15" s="16">
        <v>4</v>
      </c>
      <c r="AB15" s="16">
        <v>7</v>
      </c>
      <c r="AC15" s="16" t="s">
        <v>65</v>
      </c>
      <c r="AD15" s="16" t="s">
        <v>65</v>
      </c>
      <c r="AE15" s="16">
        <v>10</v>
      </c>
      <c r="AF15" s="16">
        <v>3</v>
      </c>
      <c r="AG15" s="15">
        <f t="shared" si="3"/>
        <v>24</v>
      </c>
      <c r="AH15" s="14">
        <f>AG15*110</f>
        <v>2640</v>
      </c>
      <c r="AO15" s="54" t="s">
        <v>51</v>
      </c>
      <c r="AP15" s="66">
        <v>304190</v>
      </c>
    </row>
    <row r="16" spans="2:42" x14ac:dyDescent="0.3">
      <c r="B16" s="17" t="s">
        <v>50</v>
      </c>
      <c r="C16" s="16"/>
      <c r="D16" s="16"/>
      <c r="E16" s="16"/>
      <c r="F16" s="16" t="s">
        <v>65</v>
      </c>
      <c r="G16" s="16">
        <v>31</v>
      </c>
      <c r="H16" s="16"/>
      <c r="I16" s="15">
        <f t="shared" si="0"/>
        <v>31</v>
      </c>
      <c r="J16" s="14">
        <v>0</v>
      </c>
      <c r="K16" s="20" t="s">
        <v>65</v>
      </c>
      <c r="L16" s="16"/>
      <c r="M16" s="16">
        <v>2</v>
      </c>
      <c r="N16" s="16">
        <v>2</v>
      </c>
      <c r="O16" s="16"/>
      <c r="P16" s="16">
        <v>9</v>
      </c>
      <c r="Q16" s="15">
        <f t="shared" si="1"/>
        <v>13</v>
      </c>
      <c r="R16" s="14">
        <f>Q16*70</f>
        <v>910</v>
      </c>
      <c r="S16" s="16"/>
      <c r="T16" s="16">
        <v>2</v>
      </c>
      <c r="U16" s="16">
        <v>2</v>
      </c>
      <c r="V16" s="16"/>
      <c r="W16" s="16"/>
      <c r="X16" s="16" t="s">
        <v>65</v>
      </c>
      <c r="Y16" s="15">
        <f t="shared" si="2"/>
        <v>4</v>
      </c>
      <c r="Z16" s="14">
        <f>Y16*70</f>
        <v>280</v>
      </c>
      <c r="AA16" s="16">
        <v>20</v>
      </c>
      <c r="AB16" s="16">
        <v>2</v>
      </c>
      <c r="AC16" s="16" t="s">
        <v>65</v>
      </c>
      <c r="AD16" s="16" t="s">
        <v>65</v>
      </c>
      <c r="AE16" s="16" t="s">
        <v>65</v>
      </c>
      <c r="AF16" s="16" t="s">
        <v>65</v>
      </c>
      <c r="AG16" s="15">
        <f t="shared" si="3"/>
        <v>22</v>
      </c>
      <c r="AH16" s="14">
        <f>AG16*70</f>
        <v>1540</v>
      </c>
    </row>
    <row r="17" spans="2:39" x14ac:dyDescent="0.3">
      <c r="B17" s="17" t="s">
        <v>28</v>
      </c>
      <c r="C17" s="16" t="s">
        <v>65</v>
      </c>
      <c r="D17" s="16"/>
      <c r="E17" s="16"/>
      <c r="F17" s="16"/>
      <c r="G17" s="16" t="s">
        <v>65</v>
      </c>
      <c r="H17" s="16"/>
      <c r="I17" s="15">
        <f t="shared" si="0"/>
        <v>0</v>
      </c>
      <c r="J17" s="14">
        <f>I17*0</f>
        <v>0</v>
      </c>
      <c r="K17" s="16"/>
      <c r="L17" s="16"/>
      <c r="M17" s="16"/>
      <c r="N17" s="16"/>
      <c r="O17" s="16"/>
      <c r="P17" s="16"/>
      <c r="Q17" s="15">
        <f t="shared" si="1"/>
        <v>0</v>
      </c>
      <c r="R17" s="14">
        <f>Q17*0</f>
        <v>0</v>
      </c>
      <c r="S17" s="16"/>
      <c r="T17" s="16" t="s">
        <v>65</v>
      </c>
      <c r="U17" s="16"/>
      <c r="V17" s="16"/>
      <c r="W17" s="16"/>
      <c r="X17" s="16" t="s">
        <v>65</v>
      </c>
      <c r="Y17" s="15">
        <f t="shared" si="2"/>
        <v>0</v>
      </c>
      <c r="Z17" s="14">
        <f>Y17*0</f>
        <v>0</v>
      </c>
      <c r="AA17" s="16"/>
      <c r="AB17" s="16"/>
      <c r="AC17" s="16" t="s">
        <v>65</v>
      </c>
      <c r="AD17" s="16" t="s">
        <v>65</v>
      </c>
      <c r="AE17" s="16" t="s">
        <v>65</v>
      </c>
      <c r="AF17" s="16" t="s">
        <v>65</v>
      </c>
      <c r="AG17" s="15">
        <f t="shared" si="3"/>
        <v>0</v>
      </c>
      <c r="AH17" s="14">
        <f>AG17*0</f>
        <v>0</v>
      </c>
    </row>
    <row r="18" spans="2:39" x14ac:dyDescent="0.3">
      <c r="B18" s="17" t="s">
        <v>49</v>
      </c>
      <c r="C18" s="16" t="s">
        <v>65</v>
      </c>
      <c r="D18" s="16"/>
      <c r="E18" s="16"/>
      <c r="F18" s="16"/>
      <c r="G18" s="16" t="s">
        <v>65</v>
      </c>
      <c r="H18" s="16"/>
      <c r="I18" s="15">
        <f t="shared" si="0"/>
        <v>0</v>
      </c>
      <c r="J18" s="14">
        <f>I18*0</f>
        <v>0</v>
      </c>
      <c r="K18" s="16" t="s">
        <v>65</v>
      </c>
      <c r="L18" s="16" t="s">
        <v>65</v>
      </c>
      <c r="M18" s="16"/>
      <c r="N18" s="16" t="s">
        <v>65</v>
      </c>
      <c r="O18" s="16" t="s">
        <v>65</v>
      </c>
      <c r="P18" s="16" t="s">
        <v>65</v>
      </c>
      <c r="Q18" s="15">
        <f t="shared" si="1"/>
        <v>0</v>
      </c>
      <c r="R18" s="14">
        <f>Q18*0</f>
        <v>0</v>
      </c>
      <c r="S18" s="16" t="s">
        <v>65</v>
      </c>
      <c r="T18" s="16" t="s">
        <v>65</v>
      </c>
      <c r="U18" s="16" t="s">
        <v>65</v>
      </c>
      <c r="V18" s="16" t="s">
        <v>65</v>
      </c>
      <c r="W18" s="16" t="s">
        <v>65</v>
      </c>
      <c r="X18" s="16" t="s">
        <v>65</v>
      </c>
      <c r="Y18" s="15">
        <f t="shared" si="2"/>
        <v>0</v>
      </c>
      <c r="Z18" s="14">
        <f>Y18*0</f>
        <v>0</v>
      </c>
      <c r="AA18" s="16"/>
      <c r="AB18" s="16"/>
      <c r="AC18" s="16" t="s">
        <v>65</v>
      </c>
      <c r="AD18" s="16" t="s">
        <v>65</v>
      </c>
      <c r="AE18" s="16" t="s">
        <v>65</v>
      </c>
      <c r="AF18" s="16" t="s">
        <v>65</v>
      </c>
      <c r="AG18" s="15">
        <f t="shared" si="3"/>
        <v>0</v>
      </c>
      <c r="AH18" s="14">
        <f>AG18*0</f>
        <v>0</v>
      </c>
    </row>
    <row r="19" spans="2:39" ht="15.6" x14ac:dyDescent="0.3">
      <c r="B19" s="52"/>
      <c r="C19" s="50"/>
      <c r="D19" s="50"/>
      <c r="E19" s="50"/>
      <c r="F19" s="50"/>
      <c r="G19" s="50"/>
      <c r="H19" s="50"/>
      <c r="I19" s="39">
        <f>SUM(I4:I16)</f>
        <v>1320</v>
      </c>
      <c r="J19" s="49">
        <f>SUM(J4:J16)</f>
        <v>91346</v>
      </c>
      <c r="K19" s="50"/>
      <c r="L19" s="50"/>
      <c r="M19" s="50"/>
      <c r="N19" s="50"/>
      <c r="O19" s="50"/>
      <c r="P19" s="50"/>
      <c r="Q19" s="39">
        <f>SUM(Q4:Q16)</f>
        <v>886</v>
      </c>
      <c r="R19" s="49">
        <f>SUM(R4:R16)</f>
        <v>63279</v>
      </c>
      <c r="S19" s="50"/>
      <c r="T19" s="50"/>
      <c r="U19" s="50"/>
      <c r="V19" s="50"/>
      <c r="W19" s="50"/>
      <c r="X19" s="50"/>
      <c r="Y19" s="39">
        <f>SUM(Y4:Y16)</f>
        <v>994</v>
      </c>
      <c r="Z19" s="49">
        <f>SUM(Z4:Z16)</f>
        <v>74130</v>
      </c>
      <c r="AA19" s="50"/>
      <c r="AB19" s="50"/>
      <c r="AC19" s="50"/>
      <c r="AD19" s="50"/>
      <c r="AE19" s="50"/>
      <c r="AF19" s="50"/>
      <c r="AG19" s="39">
        <f>SUM(AG4:AG16)</f>
        <v>895</v>
      </c>
      <c r="AH19" s="49">
        <f>SUM(AH4:AH16)</f>
        <v>66203</v>
      </c>
      <c r="AJ19" s="47" t="s">
        <v>48</v>
      </c>
      <c r="AK19" s="48">
        <f>I50+Q50+Y50+AG50</f>
        <v>6374</v>
      </c>
      <c r="AL19" s="30">
        <f>AK20/AK19</f>
        <v>71.71964229683087</v>
      </c>
    </row>
    <row r="20" spans="2:39" ht="15.6" customHeight="1" x14ac:dyDescent="0.3">
      <c r="B20" s="42" t="s">
        <v>47</v>
      </c>
      <c r="C20" s="16">
        <v>10</v>
      </c>
      <c r="D20" s="16"/>
      <c r="E20" s="16">
        <v>5</v>
      </c>
      <c r="F20" s="16">
        <v>20</v>
      </c>
      <c r="G20" s="16">
        <v>10</v>
      </c>
      <c r="H20" s="16">
        <v>15</v>
      </c>
      <c r="I20" s="15">
        <f>SUM(C20:H20)</f>
        <v>60</v>
      </c>
      <c r="J20" s="14">
        <f>I20*85</f>
        <v>5100</v>
      </c>
      <c r="K20" s="16"/>
      <c r="L20" s="16"/>
      <c r="M20" s="16">
        <v>15</v>
      </c>
      <c r="N20" s="16">
        <v>15</v>
      </c>
      <c r="O20" s="16"/>
      <c r="P20" s="16"/>
      <c r="Q20" s="15">
        <f>SUM(K20:P20)</f>
        <v>30</v>
      </c>
      <c r="R20" s="14">
        <f>Q20*85</f>
        <v>2550</v>
      </c>
      <c r="S20" s="16"/>
      <c r="T20" s="16" t="s">
        <v>65</v>
      </c>
      <c r="U20" s="16">
        <v>10</v>
      </c>
      <c r="V20" s="16">
        <v>2</v>
      </c>
      <c r="W20" s="16">
        <v>25</v>
      </c>
      <c r="X20" s="16">
        <v>10</v>
      </c>
      <c r="Y20" s="15">
        <f>SUM(S20:X20)</f>
        <v>47</v>
      </c>
      <c r="Z20" s="14">
        <f>Y20*98</f>
        <v>4606</v>
      </c>
      <c r="AA20" s="16">
        <v>22</v>
      </c>
      <c r="AB20" s="16"/>
      <c r="AC20" s="16"/>
      <c r="AD20" s="16" t="s">
        <v>65</v>
      </c>
      <c r="AE20" s="16"/>
      <c r="AF20" s="16">
        <v>30</v>
      </c>
      <c r="AG20" s="15">
        <f t="shared" ref="AG20:AG47" si="4">SUM(AA20:AF20)</f>
        <v>52</v>
      </c>
      <c r="AH20" s="14">
        <f>AG20*98</f>
        <v>5096</v>
      </c>
      <c r="AJ20" s="47" t="s">
        <v>3</v>
      </c>
      <c r="AK20" s="46">
        <f>J50+R50+Z50+AH50</f>
        <v>457141</v>
      </c>
    </row>
    <row r="21" spans="2:39" x14ac:dyDescent="0.3">
      <c r="B21" s="42" t="s">
        <v>46</v>
      </c>
      <c r="C21" s="16" t="s">
        <v>65</v>
      </c>
      <c r="D21" s="16"/>
      <c r="E21" s="16">
        <v>3</v>
      </c>
      <c r="F21" s="16">
        <v>40</v>
      </c>
      <c r="G21" s="16">
        <v>10</v>
      </c>
      <c r="H21" s="16" t="s">
        <v>65</v>
      </c>
      <c r="I21" s="15">
        <f t="shared" ref="I21:I39" si="5">SUM(C21:H21)</f>
        <v>53</v>
      </c>
      <c r="J21" s="14">
        <f>I21*84</f>
        <v>4452</v>
      </c>
      <c r="K21" s="16">
        <v>1</v>
      </c>
      <c r="L21" s="16"/>
      <c r="M21" s="16"/>
      <c r="N21" s="16">
        <v>10</v>
      </c>
      <c r="O21" s="16"/>
      <c r="P21" s="16"/>
      <c r="Q21" s="15">
        <f t="shared" ref="Q21:Q43" si="6">SUM(K21:P21)</f>
        <v>11</v>
      </c>
      <c r="R21" s="14">
        <f>Q21*84</f>
        <v>924</v>
      </c>
      <c r="S21" s="16"/>
      <c r="T21" s="16">
        <v>2</v>
      </c>
      <c r="U21" s="16"/>
      <c r="V21" s="16">
        <v>15</v>
      </c>
      <c r="W21" s="16">
        <v>10</v>
      </c>
      <c r="X21" s="16">
        <v>10</v>
      </c>
      <c r="Y21" s="15">
        <f t="shared" ref="Y21:Y47" si="7">SUM(S21:X21)</f>
        <v>37</v>
      </c>
      <c r="Z21" s="14">
        <f>Y21*96</f>
        <v>3552</v>
      </c>
      <c r="AA21" s="16">
        <v>43</v>
      </c>
      <c r="AB21" s="16"/>
      <c r="AC21" s="16"/>
      <c r="AD21" s="16" t="s">
        <v>65</v>
      </c>
      <c r="AE21" s="16"/>
      <c r="AF21" s="16">
        <v>30</v>
      </c>
      <c r="AG21" s="15">
        <f t="shared" si="4"/>
        <v>73</v>
      </c>
      <c r="AH21" s="14">
        <f>AG21*96</f>
        <v>7008</v>
      </c>
    </row>
    <row r="22" spans="2:39" x14ac:dyDescent="0.3">
      <c r="B22" s="42" t="s">
        <v>45</v>
      </c>
      <c r="C22" s="16" t="s">
        <v>65</v>
      </c>
      <c r="D22" s="16"/>
      <c r="E22" s="16"/>
      <c r="F22" s="16"/>
      <c r="G22" s="16">
        <v>3</v>
      </c>
      <c r="H22" s="16">
        <v>10</v>
      </c>
      <c r="I22" s="15">
        <f t="shared" si="5"/>
        <v>13</v>
      </c>
      <c r="J22" s="14">
        <f>I22*85</f>
        <v>1105</v>
      </c>
      <c r="K22" s="16">
        <v>3</v>
      </c>
      <c r="L22" s="16"/>
      <c r="M22" s="16">
        <v>10</v>
      </c>
      <c r="N22" s="16">
        <v>12</v>
      </c>
      <c r="O22" s="16"/>
      <c r="P22" s="16"/>
      <c r="Q22" s="15">
        <f t="shared" si="6"/>
        <v>25</v>
      </c>
      <c r="R22" s="14">
        <f>Q22*85</f>
        <v>2125</v>
      </c>
      <c r="S22" s="16"/>
      <c r="T22" s="16">
        <v>80</v>
      </c>
      <c r="U22" s="16"/>
      <c r="V22" s="16" t="s">
        <v>65</v>
      </c>
      <c r="W22" s="16">
        <v>25</v>
      </c>
      <c r="X22" s="16">
        <v>10</v>
      </c>
      <c r="Y22" s="15">
        <f t="shared" si="7"/>
        <v>115</v>
      </c>
      <c r="Z22" s="14">
        <f>Y22*98</f>
        <v>11270</v>
      </c>
      <c r="AA22" s="16">
        <v>9</v>
      </c>
      <c r="AB22" s="16"/>
      <c r="AC22" s="16"/>
      <c r="AD22" s="16" t="s">
        <v>65</v>
      </c>
      <c r="AE22" s="16"/>
      <c r="AF22" s="16"/>
      <c r="AG22" s="15">
        <f t="shared" si="4"/>
        <v>9</v>
      </c>
      <c r="AH22" s="14">
        <f>AG22*98</f>
        <v>882</v>
      </c>
      <c r="AM22">
        <f>JUNIO!AL19-NOVIEMBRE!AK19</f>
        <v>363</v>
      </c>
    </row>
    <row r="23" spans="2:39" x14ac:dyDescent="0.3">
      <c r="B23" s="42" t="s">
        <v>44</v>
      </c>
      <c r="C23" s="16" t="s">
        <v>65</v>
      </c>
      <c r="D23" s="16"/>
      <c r="E23" s="16"/>
      <c r="F23" s="16"/>
      <c r="G23" s="16"/>
      <c r="H23" s="16">
        <v>20</v>
      </c>
      <c r="I23" s="15">
        <f t="shared" si="5"/>
        <v>20</v>
      </c>
      <c r="J23" s="14">
        <f>I23*85</f>
        <v>1700</v>
      </c>
      <c r="K23" s="16">
        <v>4</v>
      </c>
      <c r="L23" s="16"/>
      <c r="M23" s="16">
        <v>25</v>
      </c>
      <c r="N23" s="16">
        <v>8</v>
      </c>
      <c r="O23" s="16"/>
      <c r="P23" s="16"/>
      <c r="Q23" s="15">
        <f t="shared" si="6"/>
        <v>37</v>
      </c>
      <c r="R23" s="14">
        <f>Q23*85</f>
        <v>3145</v>
      </c>
      <c r="S23" s="16"/>
      <c r="T23" s="16"/>
      <c r="U23" s="16"/>
      <c r="V23" s="16"/>
      <c r="W23" s="16" t="s">
        <v>65</v>
      </c>
      <c r="X23" s="16" t="s">
        <v>65</v>
      </c>
      <c r="Y23" s="15">
        <f t="shared" si="7"/>
        <v>0</v>
      </c>
      <c r="Z23" s="14">
        <f>Y23*82</f>
        <v>0</v>
      </c>
      <c r="AA23" s="16"/>
      <c r="AB23" s="16"/>
      <c r="AC23" s="16"/>
      <c r="AD23" s="16">
        <v>10</v>
      </c>
      <c r="AE23" s="16"/>
      <c r="AF23" s="16"/>
      <c r="AG23" s="15">
        <f t="shared" si="4"/>
        <v>10</v>
      </c>
      <c r="AH23" s="14">
        <f>AG23*82</f>
        <v>820</v>
      </c>
    </row>
    <row r="24" spans="2:39" ht="15.6" x14ac:dyDescent="0.3">
      <c r="B24" s="42" t="s">
        <v>43</v>
      </c>
      <c r="C24" s="16" t="s">
        <v>65</v>
      </c>
      <c r="D24" s="16"/>
      <c r="E24" s="16"/>
      <c r="F24" s="16"/>
      <c r="G24" s="16">
        <v>10</v>
      </c>
      <c r="H24" s="16"/>
      <c r="I24" s="15">
        <f t="shared" si="5"/>
        <v>10</v>
      </c>
      <c r="J24" s="14">
        <f>I24*85</f>
        <v>850</v>
      </c>
      <c r="K24" s="16"/>
      <c r="L24" s="16"/>
      <c r="M24" s="16"/>
      <c r="N24" s="16"/>
      <c r="O24" s="16"/>
      <c r="P24" s="16" t="s">
        <v>65</v>
      </c>
      <c r="Q24" s="15">
        <f t="shared" si="6"/>
        <v>0</v>
      </c>
      <c r="R24" s="14">
        <f>Q24*85</f>
        <v>0</v>
      </c>
      <c r="S24" s="16"/>
      <c r="T24" s="16">
        <v>78</v>
      </c>
      <c r="U24" s="16"/>
      <c r="V24" s="16"/>
      <c r="W24" s="16" t="s">
        <v>65</v>
      </c>
      <c r="X24" s="16" t="s">
        <v>65</v>
      </c>
      <c r="Y24" s="15">
        <f t="shared" si="7"/>
        <v>78</v>
      </c>
      <c r="Z24" s="14">
        <f>Y24*100</f>
        <v>7800</v>
      </c>
      <c r="AA24" s="16"/>
      <c r="AB24" s="16"/>
      <c r="AC24" s="16"/>
      <c r="AD24" s="16"/>
      <c r="AE24" s="16"/>
      <c r="AF24" s="16"/>
      <c r="AG24" s="15">
        <f t="shared" si="4"/>
        <v>0</v>
      </c>
      <c r="AH24" s="14">
        <f>AG24*100</f>
        <v>0</v>
      </c>
      <c r="AJ24" s="70" t="s">
        <v>42</v>
      </c>
      <c r="AK24" s="70"/>
    </row>
    <row r="25" spans="2:39" ht="15.6" x14ac:dyDescent="0.3">
      <c r="B25" s="42" t="s">
        <v>41</v>
      </c>
      <c r="C25" s="16" t="s">
        <v>65</v>
      </c>
      <c r="D25" s="16"/>
      <c r="E25" s="16"/>
      <c r="F25" s="16"/>
      <c r="G25" s="16">
        <v>10</v>
      </c>
      <c r="H25" s="16"/>
      <c r="I25" s="15">
        <f t="shared" si="5"/>
        <v>10</v>
      </c>
      <c r="J25" s="14">
        <f>I25*84</f>
        <v>840</v>
      </c>
      <c r="K25" s="16"/>
      <c r="L25" s="16"/>
      <c r="M25" s="16"/>
      <c r="N25" s="16"/>
      <c r="O25" s="16"/>
      <c r="P25" s="16" t="s">
        <v>65</v>
      </c>
      <c r="Q25" s="15">
        <f t="shared" si="6"/>
        <v>0</v>
      </c>
      <c r="R25" s="14">
        <f>Q25*84</f>
        <v>0</v>
      </c>
      <c r="S25" s="16"/>
      <c r="T25" s="16">
        <v>100</v>
      </c>
      <c r="U25" s="16"/>
      <c r="V25" s="16" t="s">
        <v>65</v>
      </c>
      <c r="W25" s="16">
        <v>20</v>
      </c>
      <c r="X25" s="16" t="s">
        <v>65</v>
      </c>
      <c r="Y25" s="15">
        <f t="shared" si="7"/>
        <v>120</v>
      </c>
      <c r="Z25" s="14">
        <f>Y25*115</f>
        <v>13800</v>
      </c>
      <c r="AA25" s="16"/>
      <c r="AB25" s="16"/>
      <c r="AC25" s="16"/>
      <c r="AD25" s="16"/>
      <c r="AE25" s="16"/>
      <c r="AF25" s="16"/>
      <c r="AG25" s="15">
        <f t="shared" si="4"/>
        <v>0</v>
      </c>
      <c r="AH25" s="14">
        <f>AG25*115</f>
        <v>0</v>
      </c>
      <c r="AJ25" s="45" t="s">
        <v>40</v>
      </c>
      <c r="AK25" s="44">
        <f>I13+Q13+Y13+AG13</f>
        <v>638</v>
      </c>
    </row>
    <row r="26" spans="2:39" ht="15.6" x14ac:dyDescent="0.3">
      <c r="B26" s="42" t="s">
        <v>39</v>
      </c>
      <c r="C26" s="16" t="s">
        <v>65</v>
      </c>
      <c r="D26" s="16"/>
      <c r="E26" s="16"/>
      <c r="F26" s="16"/>
      <c r="G26" s="16"/>
      <c r="H26" s="16"/>
      <c r="I26" s="15">
        <f t="shared" si="5"/>
        <v>0</v>
      </c>
      <c r="J26" s="14">
        <f>I26*85</f>
        <v>0</v>
      </c>
      <c r="K26" s="16"/>
      <c r="L26" s="16"/>
      <c r="M26" s="16"/>
      <c r="N26" s="16"/>
      <c r="O26" s="16"/>
      <c r="P26" s="16" t="s">
        <v>65</v>
      </c>
      <c r="Q26" s="15">
        <f t="shared" si="6"/>
        <v>0</v>
      </c>
      <c r="R26" s="14">
        <f>Q26*85</f>
        <v>0</v>
      </c>
      <c r="S26" s="16"/>
      <c r="T26" s="16"/>
      <c r="U26" s="16"/>
      <c r="V26" s="16"/>
      <c r="W26" s="16"/>
      <c r="X26" s="16" t="s">
        <v>65</v>
      </c>
      <c r="Y26" s="15">
        <f t="shared" si="7"/>
        <v>0</v>
      </c>
      <c r="Z26" s="14">
        <f>Y26*85</f>
        <v>0</v>
      </c>
      <c r="AA26" s="16"/>
      <c r="AB26" s="16"/>
      <c r="AC26" s="16"/>
      <c r="AD26" s="16"/>
      <c r="AE26" s="16"/>
      <c r="AF26" s="16"/>
      <c r="AG26" s="15">
        <f t="shared" si="4"/>
        <v>0</v>
      </c>
      <c r="AH26" s="14">
        <f>AG26*85</f>
        <v>0</v>
      </c>
      <c r="AJ26" s="45" t="s">
        <v>38</v>
      </c>
      <c r="AK26" s="44">
        <f>I14+Q14+Y14+AG14</f>
        <v>476</v>
      </c>
    </row>
    <row r="27" spans="2:39" ht="15.6" x14ac:dyDescent="0.3">
      <c r="B27" s="42" t="s">
        <v>37</v>
      </c>
      <c r="C27" s="16"/>
      <c r="D27" s="16"/>
      <c r="E27" s="16"/>
      <c r="F27" s="16"/>
      <c r="G27" s="16"/>
      <c r="H27" s="16"/>
      <c r="I27" s="15">
        <f t="shared" si="5"/>
        <v>0</v>
      </c>
      <c r="J27" s="14">
        <f>I27*85</f>
        <v>0</v>
      </c>
      <c r="K27" s="16"/>
      <c r="L27" s="16"/>
      <c r="M27" s="16"/>
      <c r="N27" s="16"/>
      <c r="O27" s="16"/>
      <c r="P27" s="16"/>
      <c r="Q27" s="15">
        <f t="shared" si="6"/>
        <v>0</v>
      </c>
      <c r="R27" s="14">
        <f>Q27*85</f>
        <v>0</v>
      </c>
      <c r="S27" s="16"/>
      <c r="T27" s="16"/>
      <c r="U27" s="16"/>
      <c r="V27" s="16"/>
      <c r="W27" s="16"/>
      <c r="X27" s="16" t="s">
        <v>65</v>
      </c>
      <c r="Y27" s="15">
        <f t="shared" si="7"/>
        <v>0</v>
      </c>
      <c r="Z27" s="14">
        <f>Y27*85</f>
        <v>0</v>
      </c>
      <c r="AA27" s="16"/>
      <c r="AB27" s="16"/>
      <c r="AC27" s="16"/>
      <c r="AD27" s="16"/>
      <c r="AE27" s="16"/>
      <c r="AF27" s="16"/>
      <c r="AG27" s="15">
        <f t="shared" si="4"/>
        <v>0</v>
      </c>
      <c r="AH27" s="14">
        <f>AG27*85</f>
        <v>0</v>
      </c>
      <c r="AJ27" s="45" t="s">
        <v>36</v>
      </c>
      <c r="AK27" s="44">
        <f>I15+Q15+Y15+AG15</f>
        <v>120</v>
      </c>
    </row>
    <row r="28" spans="2:39" x14ac:dyDescent="0.3">
      <c r="B28" s="42" t="s">
        <v>35</v>
      </c>
      <c r="C28" s="16"/>
      <c r="D28" s="16"/>
      <c r="E28" s="16"/>
      <c r="F28" s="16">
        <v>10</v>
      </c>
      <c r="G28" s="16"/>
      <c r="H28" s="16">
        <v>20</v>
      </c>
      <c r="I28" s="15">
        <f t="shared" si="5"/>
        <v>30</v>
      </c>
      <c r="J28" s="14">
        <f>I28*75</f>
        <v>2250</v>
      </c>
      <c r="K28" s="16"/>
      <c r="L28" s="16">
        <v>10</v>
      </c>
      <c r="M28" s="16"/>
      <c r="N28" s="16"/>
      <c r="O28" s="16"/>
      <c r="P28" s="16"/>
      <c r="Q28" s="15">
        <f t="shared" si="6"/>
        <v>10</v>
      </c>
      <c r="R28" s="14">
        <f>Q28*75</f>
        <v>750</v>
      </c>
      <c r="S28" s="16">
        <v>2</v>
      </c>
      <c r="T28" s="16"/>
      <c r="U28" s="16">
        <v>10</v>
      </c>
      <c r="V28" s="16" t="s">
        <v>65</v>
      </c>
      <c r="W28" s="16">
        <v>5</v>
      </c>
      <c r="X28" s="16" t="s">
        <v>65</v>
      </c>
      <c r="Y28" s="15">
        <f t="shared" si="7"/>
        <v>17</v>
      </c>
      <c r="Z28" s="14">
        <f>Y28*75</f>
        <v>1275</v>
      </c>
      <c r="AA28" s="16">
        <v>25</v>
      </c>
      <c r="AB28" s="16"/>
      <c r="AC28" s="16"/>
      <c r="AD28" s="16">
        <v>10</v>
      </c>
      <c r="AE28" s="16"/>
      <c r="AF28" s="16"/>
      <c r="AG28" s="15">
        <f t="shared" si="4"/>
        <v>35</v>
      </c>
      <c r="AH28" s="14">
        <f>AG28*75</f>
        <v>2625</v>
      </c>
      <c r="AI28" t="s">
        <v>67</v>
      </c>
      <c r="AK28" s="43">
        <f>SUM(AK25:AK27)</f>
        <v>1234</v>
      </c>
    </row>
    <row r="29" spans="2:39" x14ac:dyDescent="0.3">
      <c r="B29" s="42" t="s">
        <v>34</v>
      </c>
      <c r="C29" s="16"/>
      <c r="D29" s="16"/>
      <c r="E29" s="16"/>
      <c r="F29" s="16"/>
      <c r="G29" s="16"/>
      <c r="H29" s="16"/>
      <c r="I29" s="15">
        <f t="shared" si="5"/>
        <v>0</v>
      </c>
      <c r="J29" s="14">
        <f>I29*75</f>
        <v>0</v>
      </c>
      <c r="K29" s="16"/>
      <c r="L29" s="16"/>
      <c r="M29" s="16"/>
      <c r="N29" s="16"/>
      <c r="O29" s="16"/>
      <c r="P29" s="16"/>
      <c r="Q29" s="15">
        <f t="shared" si="6"/>
        <v>0</v>
      </c>
      <c r="R29" s="14">
        <f>Q29*75</f>
        <v>0</v>
      </c>
      <c r="S29" s="16"/>
      <c r="T29" s="16">
        <v>30</v>
      </c>
      <c r="U29" s="16"/>
      <c r="V29" s="16"/>
      <c r="W29" s="16"/>
      <c r="X29" s="16">
        <v>7</v>
      </c>
      <c r="Y29" s="15">
        <f t="shared" si="7"/>
        <v>37</v>
      </c>
      <c r="Z29" s="14">
        <f>Y29*75</f>
        <v>2775</v>
      </c>
      <c r="AA29" s="16"/>
      <c r="AB29" s="16"/>
      <c r="AC29" s="16"/>
      <c r="AD29" s="16"/>
      <c r="AE29" s="16"/>
      <c r="AF29" s="16"/>
      <c r="AG29" s="15">
        <f t="shared" si="4"/>
        <v>0</v>
      </c>
      <c r="AH29" s="14">
        <f>AG29*75</f>
        <v>0</v>
      </c>
    </row>
    <row r="30" spans="2:39" x14ac:dyDescent="0.3">
      <c r="B30" s="42" t="s">
        <v>33</v>
      </c>
      <c r="C30" s="16">
        <v>25</v>
      </c>
      <c r="D30" s="16"/>
      <c r="E30" s="16">
        <v>4</v>
      </c>
      <c r="F30" s="16">
        <v>40</v>
      </c>
      <c r="G30" s="16">
        <v>35</v>
      </c>
      <c r="H30" s="16">
        <v>25</v>
      </c>
      <c r="I30" s="15">
        <f t="shared" si="5"/>
        <v>129</v>
      </c>
      <c r="J30" s="14">
        <f>I30*78</f>
        <v>10062</v>
      </c>
      <c r="K30" s="16">
        <v>4</v>
      </c>
      <c r="L30" s="16">
        <v>10</v>
      </c>
      <c r="M30" s="16">
        <v>50</v>
      </c>
      <c r="N30" s="16">
        <v>28</v>
      </c>
      <c r="O30" s="16"/>
      <c r="P30" s="16">
        <v>10</v>
      </c>
      <c r="Q30" s="15">
        <f t="shared" si="6"/>
        <v>102</v>
      </c>
      <c r="R30" s="14">
        <f>Q30*78</f>
        <v>7956</v>
      </c>
      <c r="S30" s="16"/>
      <c r="T30" s="16">
        <v>100</v>
      </c>
      <c r="U30" s="16"/>
      <c r="V30" s="16">
        <v>6</v>
      </c>
      <c r="W30" s="16">
        <v>30</v>
      </c>
      <c r="X30" s="16">
        <v>10</v>
      </c>
      <c r="Y30" s="15">
        <f t="shared" si="7"/>
        <v>146</v>
      </c>
      <c r="Z30" s="14">
        <f>Y30*78</f>
        <v>11388</v>
      </c>
      <c r="AA30" s="16">
        <v>22</v>
      </c>
      <c r="AB30" s="16"/>
      <c r="AC30" s="16"/>
      <c r="AD30" s="16">
        <v>6</v>
      </c>
      <c r="AE30" s="16"/>
      <c r="AF30" s="16">
        <v>30</v>
      </c>
      <c r="AG30" s="15">
        <f t="shared" si="4"/>
        <v>58</v>
      </c>
      <c r="AH30" s="14">
        <f>AG30*78</f>
        <v>4524</v>
      </c>
    </row>
    <row r="31" spans="2:39" x14ac:dyDescent="0.3">
      <c r="B31" s="42" t="s">
        <v>32</v>
      </c>
      <c r="C31" s="16"/>
      <c r="D31" s="16"/>
      <c r="E31" s="16"/>
      <c r="F31" s="16"/>
      <c r="G31" s="16"/>
      <c r="H31" s="16"/>
      <c r="I31" s="15">
        <f t="shared" si="5"/>
        <v>0</v>
      </c>
      <c r="J31" s="14">
        <f>I31*70</f>
        <v>0</v>
      </c>
      <c r="K31" s="16"/>
      <c r="L31" s="16"/>
      <c r="M31" s="16"/>
      <c r="N31" s="16"/>
      <c r="O31" s="16"/>
      <c r="P31" s="16"/>
      <c r="Q31" s="15">
        <f t="shared" si="6"/>
        <v>0</v>
      </c>
      <c r="R31" s="14">
        <f>Q31*70</f>
        <v>0</v>
      </c>
      <c r="S31" s="16"/>
      <c r="T31" s="16"/>
      <c r="U31" s="16"/>
      <c r="V31" s="16"/>
      <c r="W31" s="16"/>
      <c r="X31" s="16"/>
      <c r="Y31" s="15">
        <f t="shared" si="7"/>
        <v>0</v>
      </c>
      <c r="Z31" s="14">
        <f>Y31*70</f>
        <v>0</v>
      </c>
      <c r="AA31" s="16"/>
      <c r="AB31" s="16"/>
      <c r="AC31" s="16"/>
      <c r="AD31" s="16"/>
      <c r="AE31" s="16"/>
      <c r="AF31" s="16"/>
      <c r="AG31" s="15">
        <f t="shared" si="4"/>
        <v>0</v>
      </c>
      <c r="AH31" s="14">
        <f>AG31*70</f>
        <v>0</v>
      </c>
    </row>
    <row r="32" spans="2:39" x14ac:dyDescent="0.3">
      <c r="B32" s="42" t="s">
        <v>31</v>
      </c>
      <c r="C32" s="16"/>
      <c r="D32" s="16"/>
      <c r="E32" s="16"/>
      <c r="F32" s="16"/>
      <c r="G32" s="16"/>
      <c r="H32" s="16"/>
      <c r="I32" s="15">
        <f t="shared" si="5"/>
        <v>0</v>
      </c>
      <c r="J32" s="14">
        <f>I32*60</f>
        <v>0</v>
      </c>
      <c r="K32" s="16"/>
      <c r="L32" s="16"/>
      <c r="M32" s="16"/>
      <c r="N32" s="16"/>
      <c r="O32" s="16"/>
      <c r="P32" s="16"/>
      <c r="Q32" s="15">
        <f t="shared" si="6"/>
        <v>0</v>
      </c>
      <c r="R32" s="14">
        <f>Q32*60</f>
        <v>0</v>
      </c>
      <c r="S32" s="16" t="s">
        <v>65</v>
      </c>
      <c r="T32" s="16"/>
      <c r="U32" s="16"/>
      <c r="V32" s="16"/>
      <c r="W32" s="16"/>
      <c r="X32" s="16"/>
      <c r="Y32" s="15">
        <f t="shared" si="7"/>
        <v>0</v>
      </c>
      <c r="Z32" s="14">
        <f>Y32*60</f>
        <v>0</v>
      </c>
      <c r="AA32" s="16"/>
      <c r="AB32" s="16"/>
      <c r="AC32" s="16"/>
      <c r="AD32" s="16"/>
      <c r="AE32" s="16"/>
      <c r="AF32" s="16"/>
      <c r="AG32" s="15">
        <f t="shared" si="4"/>
        <v>0</v>
      </c>
      <c r="AH32" s="14">
        <f>AG32*60</f>
        <v>0</v>
      </c>
    </row>
    <row r="33" spans="2:38" x14ac:dyDescent="0.3">
      <c r="B33" s="42" t="s">
        <v>30</v>
      </c>
      <c r="C33" s="16"/>
      <c r="D33" s="16"/>
      <c r="E33" s="16"/>
      <c r="F33" s="16"/>
      <c r="G33" s="16"/>
      <c r="H33" s="16"/>
      <c r="I33" s="15">
        <f t="shared" si="5"/>
        <v>0</v>
      </c>
      <c r="J33" s="14">
        <f>I33*60</f>
        <v>0</v>
      </c>
      <c r="K33" s="16"/>
      <c r="L33" s="16"/>
      <c r="M33" s="16"/>
      <c r="N33" s="16"/>
      <c r="O33" s="16"/>
      <c r="P33" s="16"/>
      <c r="Q33" s="15">
        <f t="shared" si="6"/>
        <v>0</v>
      </c>
      <c r="R33" s="14">
        <f>Q33*60</f>
        <v>0</v>
      </c>
      <c r="S33" s="16"/>
      <c r="T33" s="16"/>
      <c r="U33" s="16"/>
      <c r="V33" s="16"/>
      <c r="W33" s="16"/>
      <c r="X33" s="16"/>
      <c r="Y33" s="15">
        <f t="shared" si="7"/>
        <v>0</v>
      </c>
      <c r="Z33" s="14">
        <f>Y33*60</f>
        <v>0</v>
      </c>
      <c r="AA33" s="16"/>
      <c r="AB33" s="16"/>
      <c r="AC33" s="16"/>
      <c r="AD33" s="16"/>
      <c r="AE33" s="16"/>
      <c r="AF33" s="16"/>
      <c r="AG33" s="15">
        <f t="shared" si="4"/>
        <v>0</v>
      </c>
      <c r="AH33" s="14">
        <f>AG33*60</f>
        <v>0</v>
      </c>
    </row>
    <row r="34" spans="2:38" x14ac:dyDescent="0.3">
      <c r="B34" s="42" t="s">
        <v>29</v>
      </c>
      <c r="C34" s="16"/>
      <c r="D34" s="16"/>
      <c r="E34" s="16"/>
      <c r="F34" s="16"/>
      <c r="G34" s="16"/>
      <c r="H34" s="16"/>
      <c r="I34" s="15">
        <f t="shared" si="5"/>
        <v>0</v>
      </c>
      <c r="J34" s="14">
        <f>I34*40</f>
        <v>0</v>
      </c>
      <c r="K34" s="16"/>
      <c r="L34" s="16"/>
      <c r="M34" s="16"/>
      <c r="N34" s="16"/>
      <c r="O34" s="16"/>
      <c r="P34" s="16"/>
      <c r="Q34" s="15">
        <f t="shared" si="6"/>
        <v>0</v>
      </c>
      <c r="R34" s="14">
        <f>Q34*40</f>
        <v>0</v>
      </c>
      <c r="S34" s="16">
        <v>122</v>
      </c>
      <c r="T34" s="16"/>
      <c r="U34" s="16"/>
      <c r="V34" s="16"/>
      <c r="W34" s="16"/>
      <c r="X34" s="16"/>
      <c r="Y34" s="15">
        <f t="shared" si="7"/>
        <v>122</v>
      </c>
      <c r="Z34" s="14">
        <f>Y34*40</f>
        <v>4880</v>
      </c>
      <c r="AA34" s="16"/>
      <c r="AB34" s="16"/>
      <c r="AC34" s="16"/>
      <c r="AD34" s="16"/>
      <c r="AE34" s="16"/>
      <c r="AF34" s="16"/>
      <c r="AG34" s="15">
        <f t="shared" si="4"/>
        <v>0</v>
      </c>
      <c r="AH34" s="14">
        <f>AG34*40</f>
        <v>0</v>
      </c>
    </row>
    <row r="35" spans="2:38" x14ac:dyDescent="0.3">
      <c r="B35" s="42" t="s">
        <v>28</v>
      </c>
      <c r="C35" s="16">
        <v>100</v>
      </c>
      <c r="D35" s="16"/>
      <c r="E35" s="16">
        <v>6</v>
      </c>
      <c r="F35" s="16"/>
      <c r="G35" s="16">
        <v>50</v>
      </c>
      <c r="H35" s="16">
        <v>45</v>
      </c>
      <c r="I35" s="15">
        <f t="shared" si="5"/>
        <v>201</v>
      </c>
      <c r="J35" s="14">
        <f>I35*40</f>
        <v>8040</v>
      </c>
      <c r="K35" s="16">
        <v>5</v>
      </c>
      <c r="L35" s="16"/>
      <c r="M35" s="16">
        <v>49</v>
      </c>
      <c r="N35" s="16"/>
      <c r="O35" s="16">
        <v>120</v>
      </c>
      <c r="P35" s="16">
        <v>10</v>
      </c>
      <c r="Q35" s="15">
        <f t="shared" si="6"/>
        <v>184</v>
      </c>
      <c r="R35" s="14">
        <f>Q35*40</f>
        <v>7360</v>
      </c>
      <c r="S35" s="16">
        <v>136</v>
      </c>
      <c r="T35" s="16">
        <v>24</v>
      </c>
      <c r="U35" s="16">
        <v>39</v>
      </c>
      <c r="V35" s="16">
        <v>30</v>
      </c>
      <c r="W35" s="16">
        <v>30</v>
      </c>
      <c r="X35" s="16"/>
      <c r="Y35" s="15">
        <f t="shared" si="7"/>
        <v>259</v>
      </c>
      <c r="Z35" s="14">
        <f>Y35*40</f>
        <v>10360</v>
      </c>
      <c r="AA35" s="16"/>
      <c r="AB35" s="16"/>
      <c r="AC35" s="16"/>
      <c r="AD35" s="16">
        <v>16</v>
      </c>
      <c r="AE35" s="16"/>
      <c r="AF35" s="16"/>
      <c r="AG35" s="15">
        <f t="shared" si="4"/>
        <v>16</v>
      </c>
      <c r="AH35" s="14">
        <f>AG35*40</f>
        <v>640</v>
      </c>
    </row>
    <row r="36" spans="2:38" x14ac:dyDescent="0.3">
      <c r="B36" s="42" t="s">
        <v>27</v>
      </c>
      <c r="C36" s="16"/>
      <c r="D36" s="16"/>
      <c r="E36" s="16"/>
      <c r="F36" s="16"/>
      <c r="G36" s="16"/>
      <c r="H36" s="16"/>
      <c r="I36" s="15">
        <f t="shared" si="5"/>
        <v>0</v>
      </c>
      <c r="J36" s="14">
        <f>I36*76</f>
        <v>0</v>
      </c>
      <c r="K36" s="16"/>
      <c r="L36" s="16"/>
      <c r="M36" s="16"/>
      <c r="N36" s="16"/>
      <c r="O36" s="16"/>
      <c r="P36" s="16"/>
      <c r="Q36" s="15">
        <f t="shared" si="6"/>
        <v>0</v>
      </c>
      <c r="R36" s="14">
        <f>Q36*76</f>
        <v>0</v>
      </c>
      <c r="S36" s="16"/>
      <c r="T36" s="16"/>
      <c r="U36" s="16"/>
      <c r="V36" s="16"/>
      <c r="W36" s="16"/>
      <c r="X36" s="16"/>
      <c r="Y36" s="15">
        <f t="shared" si="7"/>
        <v>0</v>
      </c>
      <c r="Z36" s="14">
        <f>Y36*76</f>
        <v>0</v>
      </c>
      <c r="AA36" s="16">
        <v>40</v>
      </c>
      <c r="AB36" s="16"/>
      <c r="AC36" s="16"/>
      <c r="AD36" s="16"/>
      <c r="AE36" s="16"/>
      <c r="AF36" s="16"/>
      <c r="AG36" s="15">
        <f t="shared" si="4"/>
        <v>40</v>
      </c>
      <c r="AH36" s="14">
        <f>AG36*76</f>
        <v>3040</v>
      </c>
    </row>
    <row r="37" spans="2:38" x14ac:dyDescent="0.3">
      <c r="B37" s="42" t="s">
        <v>26</v>
      </c>
      <c r="C37" s="16"/>
      <c r="D37" s="16"/>
      <c r="E37" s="16"/>
      <c r="F37" s="16"/>
      <c r="G37" s="16"/>
      <c r="H37" s="16"/>
      <c r="I37" s="15">
        <f t="shared" si="5"/>
        <v>0</v>
      </c>
      <c r="J37" s="14">
        <f>I37*90</f>
        <v>0</v>
      </c>
      <c r="K37" s="16"/>
      <c r="L37" s="16"/>
      <c r="M37" s="16"/>
      <c r="N37" s="16"/>
      <c r="O37" s="16"/>
      <c r="P37" s="16"/>
      <c r="Q37" s="15">
        <f t="shared" si="6"/>
        <v>0</v>
      </c>
      <c r="R37" s="14">
        <f>Q37*90</f>
        <v>0</v>
      </c>
      <c r="S37" s="16"/>
      <c r="T37" s="16"/>
      <c r="U37" s="16"/>
      <c r="V37" s="16"/>
      <c r="W37" s="16"/>
      <c r="X37" s="16"/>
      <c r="Y37" s="15">
        <f t="shared" si="7"/>
        <v>0</v>
      </c>
      <c r="Z37" s="14">
        <f>Y37*90</f>
        <v>0</v>
      </c>
      <c r="AA37" s="16"/>
      <c r="AB37" s="16"/>
      <c r="AC37" s="16"/>
      <c r="AD37" s="16"/>
      <c r="AE37" s="16"/>
      <c r="AF37" s="16"/>
      <c r="AG37" s="15">
        <f t="shared" si="4"/>
        <v>0</v>
      </c>
      <c r="AH37" s="14">
        <f>AG37*90</f>
        <v>0</v>
      </c>
    </row>
    <row r="38" spans="2:38" x14ac:dyDescent="0.3">
      <c r="B38" s="42" t="s">
        <v>25</v>
      </c>
      <c r="C38" s="16"/>
      <c r="D38" s="16"/>
      <c r="E38" s="16"/>
      <c r="F38" s="16"/>
      <c r="G38" s="16">
        <v>5</v>
      </c>
      <c r="H38" s="16"/>
      <c r="I38" s="15">
        <f t="shared" si="5"/>
        <v>5</v>
      </c>
      <c r="J38" s="14">
        <f>I38*91</f>
        <v>455</v>
      </c>
      <c r="K38" s="16"/>
      <c r="L38" s="16"/>
      <c r="M38" s="16"/>
      <c r="N38" s="16"/>
      <c r="O38" s="16"/>
      <c r="P38" s="16"/>
      <c r="Q38" s="15">
        <f t="shared" si="6"/>
        <v>0</v>
      </c>
      <c r="R38" s="14">
        <f>Q38*91</f>
        <v>0</v>
      </c>
      <c r="S38" s="16"/>
      <c r="T38" s="16"/>
      <c r="U38" s="16"/>
      <c r="V38" s="16"/>
      <c r="W38" s="16"/>
      <c r="X38" s="16"/>
      <c r="Y38" s="15">
        <f t="shared" si="7"/>
        <v>0</v>
      </c>
      <c r="Z38" s="14">
        <f>Y38*91</f>
        <v>0</v>
      </c>
      <c r="AA38" s="16"/>
      <c r="AB38" s="16"/>
      <c r="AC38" s="16"/>
      <c r="AD38" s="16"/>
      <c r="AE38" s="16"/>
      <c r="AF38" s="16"/>
      <c r="AG38" s="15">
        <f t="shared" si="4"/>
        <v>0</v>
      </c>
      <c r="AH38" s="14">
        <f>AG38*91</f>
        <v>0</v>
      </c>
    </row>
    <row r="39" spans="2:38" x14ac:dyDescent="0.3">
      <c r="B39" s="42" t="s">
        <v>24</v>
      </c>
      <c r="C39" s="16"/>
      <c r="D39" s="16"/>
      <c r="E39" s="16"/>
      <c r="F39" s="16"/>
      <c r="G39" s="16">
        <v>12</v>
      </c>
      <c r="H39" s="16"/>
      <c r="I39" s="15">
        <f t="shared" si="5"/>
        <v>12</v>
      </c>
      <c r="J39" s="14">
        <f>I39*90</f>
        <v>1080</v>
      </c>
      <c r="K39" s="16"/>
      <c r="L39" s="16"/>
      <c r="M39" s="16"/>
      <c r="N39" s="16"/>
      <c r="O39" s="16"/>
      <c r="P39" s="16"/>
      <c r="Q39" s="15">
        <f t="shared" si="6"/>
        <v>0</v>
      </c>
      <c r="R39" s="14">
        <f>Q39*90</f>
        <v>0</v>
      </c>
      <c r="S39" s="16"/>
      <c r="T39" s="16"/>
      <c r="U39" s="16"/>
      <c r="V39" s="16"/>
      <c r="W39" s="16"/>
      <c r="X39" s="16"/>
      <c r="Y39" s="15">
        <f t="shared" si="7"/>
        <v>0</v>
      </c>
      <c r="Z39" s="14">
        <f>Y39*90</f>
        <v>0</v>
      </c>
      <c r="AA39" s="16"/>
      <c r="AB39" s="16"/>
      <c r="AC39" s="16"/>
      <c r="AD39" s="16"/>
      <c r="AE39" s="16"/>
      <c r="AF39" s="16"/>
      <c r="AG39" s="15">
        <f t="shared" si="4"/>
        <v>0</v>
      </c>
      <c r="AH39" s="14">
        <f>AG39*90</f>
        <v>0</v>
      </c>
    </row>
    <row r="40" spans="2:38" x14ac:dyDescent="0.3">
      <c r="B40" s="42" t="s">
        <v>23</v>
      </c>
      <c r="C40" s="16"/>
      <c r="D40" s="16"/>
      <c r="E40" s="16"/>
      <c r="F40" s="16"/>
      <c r="G40" s="16" t="s">
        <v>65</v>
      </c>
      <c r="H40" s="16"/>
      <c r="I40" s="15">
        <f t="shared" ref="I40:I47" si="8">SUM(C40:H40)</f>
        <v>0</v>
      </c>
      <c r="J40" s="14">
        <f>I40*76</f>
        <v>0</v>
      </c>
      <c r="K40" s="16"/>
      <c r="L40" s="16"/>
      <c r="M40" s="16"/>
      <c r="N40" s="16"/>
      <c r="O40" s="16"/>
      <c r="P40" s="16"/>
      <c r="Q40" s="15">
        <f t="shared" si="6"/>
        <v>0</v>
      </c>
      <c r="R40" s="14">
        <f>Q40*76</f>
        <v>0</v>
      </c>
      <c r="S40" s="16"/>
      <c r="T40" s="16"/>
      <c r="U40" s="16"/>
      <c r="V40" s="16"/>
      <c r="W40" s="16"/>
      <c r="X40" s="16"/>
      <c r="Y40" s="15">
        <f t="shared" si="7"/>
        <v>0</v>
      </c>
      <c r="Z40" s="14">
        <f>Y40*76</f>
        <v>0</v>
      </c>
      <c r="AA40" s="16">
        <v>25</v>
      </c>
      <c r="AB40" s="16"/>
      <c r="AC40" s="16"/>
      <c r="AD40" s="16"/>
      <c r="AE40" s="16"/>
      <c r="AF40" s="16"/>
      <c r="AG40" s="15">
        <f t="shared" si="4"/>
        <v>25</v>
      </c>
      <c r="AH40" s="14">
        <f>AG40*76</f>
        <v>1900</v>
      </c>
    </row>
    <row r="41" spans="2:38" x14ac:dyDescent="0.3">
      <c r="B41" s="42" t="s">
        <v>22</v>
      </c>
      <c r="C41" s="16"/>
      <c r="D41" s="16"/>
      <c r="E41" s="16"/>
      <c r="F41" s="16"/>
      <c r="G41" s="16" t="s">
        <v>65</v>
      </c>
      <c r="H41" s="16"/>
      <c r="I41" s="15">
        <f t="shared" si="8"/>
        <v>0</v>
      </c>
      <c r="J41" s="14">
        <f>I41*100</f>
        <v>0</v>
      </c>
      <c r="K41" s="16"/>
      <c r="L41" s="16"/>
      <c r="M41" s="16"/>
      <c r="N41" s="16"/>
      <c r="O41" s="16"/>
      <c r="P41" s="16"/>
      <c r="Q41" s="15">
        <f t="shared" si="6"/>
        <v>0</v>
      </c>
      <c r="R41" s="14">
        <f>Q41*100</f>
        <v>0</v>
      </c>
      <c r="S41" s="16"/>
      <c r="T41" s="16"/>
      <c r="U41" s="16"/>
      <c r="V41" s="16"/>
      <c r="W41" s="16"/>
      <c r="X41" s="16"/>
      <c r="Y41" s="15">
        <f t="shared" si="7"/>
        <v>0</v>
      </c>
      <c r="Z41" s="14">
        <f>Y41*100</f>
        <v>0</v>
      </c>
      <c r="AA41" s="16"/>
      <c r="AB41" s="16"/>
      <c r="AC41" s="16"/>
      <c r="AD41" s="16"/>
      <c r="AE41" s="16"/>
      <c r="AF41" s="16"/>
      <c r="AG41" s="15">
        <f t="shared" si="4"/>
        <v>0</v>
      </c>
      <c r="AH41" s="14">
        <f>AG41*100</f>
        <v>0</v>
      </c>
    </row>
    <row r="42" spans="2:38" x14ac:dyDescent="0.3">
      <c r="B42" s="42" t="s">
        <v>21</v>
      </c>
      <c r="C42" s="16"/>
      <c r="D42" s="16"/>
      <c r="E42" s="16"/>
      <c r="F42" s="16"/>
      <c r="G42" s="16" t="s">
        <v>65</v>
      </c>
      <c r="H42" s="16"/>
      <c r="I42" s="15">
        <f t="shared" si="8"/>
        <v>0</v>
      </c>
      <c r="J42" s="14">
        <f>I42*100</f>
        <v>0</v>
      </c>
      <c r="K42" s="16"/>
      <c r="L42" s="16"/>
      <c r="M42" s="16"/>
      <c r="N42" s="16"/>
      <c r="O42" s="16"/>
      <c r="P42" s="16"/>
      <c r="Q42" s="15">
        <f t="shared" si="6"/>
        <v>0</v>
      </c>
      <c r="R42" s="14">
        <f>Q42*100</f>
        <v>0</v>
      </c>
      <c r="S42" s="16"/>
      <c r="T42" s="16"/>
      <c r="U42" s="16"/>
      <c r="V42" s="16"/>
      <c r="W42" s="16"/>
      <c r="X42" s="16"/>
      <c r="Y42" s="15">
        <f t="shared" si="7"/>
        <v>0</v>
      </c>
      <c r="Z42" s="14">
        <f>Y42*100</f>
        <v>0</v>
      </c>
      <c r="AA42" s="16"/>
      <c r="AB42" s="16"/>
      <c r="AC42" s="16"/>
      <c r="AD42" s="16"/>
      <c r="AE42" s="16"/>
      <c r="AF42" s="16"/>
      <c r="AG42" s="15">
        <f t="shared" si="4"/>
        <v>0</v>
      </c>
      <c r="AH42" s="14">
        <f>AG42*100</f>
        <v>0</v>
      </c>
    </row>
    <row r="43" spans="2:38" x14ac:dyDescent="0.3">
      <c r="B43" s="42" t="s">
        <v>20</v>
      </c>
      <c r="C43" s="16"/>
      <c r="D43" s="16"/>
      <c r="E43" s="16"/>
      <c r="F43" s="16"/>
      <c r="G43" s="16">
        <v>15</v>
      </c>
      <c r="H43" s="16"/>
      <c r="I43" s="15">
        <f t="shared" si="8"/>
        <v>15</v>
      </c>
      <c r="J43" s="14">
        <f>I43*78</f>
        <v>1170</v>
      </c>
      <c r="K43" s="16"/>
      <c r="L43" s="16"/>
      <c r="M43" s="16"/>
      <c r="N43" s="16"/>
      <c r="O43" s="16"/>
      <c r="P43" s="16"/>
      <c r="Q43" s="15">
        <f t="shared" si="6"/>
        <v>0</v>
      </c>
      <c r="R43" s="14">
        <f>Q43*78</f>
        <v>0</v>
      </c>
      <c r="S43" s="16"/>
      <c r="T43" s="16"/>
      <c r="U43" s="16"/>
      <c r="V43" s="16"/>
      <c r="W43" s="16"/>
      <c r="X43" s="16"/>
      <c r="Y43" s="15">
        <f t="shared" si="7"/>
        <v>0</v>
      </c>
      <c r="Z43" s="14">
        <f>Y43*78</f>
        <v>0</v>
      </c>
      <c r="AA43" s="16">
        <v>26</v>
      </c>
      <c r="AB43" s="16"/>
      <c r="AC43" s="16"/>
      <c r="AD43" s="16"/>
      <c r="AE43" s="16"/>
      <c r="AF43" s="16"/>
      <c r="AG43" s="15">
        <f t="shared" si="4"/>
        <v>26</v>
      </c>
      <c r="AH43" s="14">
        <f>AG43*78</f>
        <v>2028</v>
      </c>
    </row>
    <row r="44" spans="2:38" ht="15.6" x14ac:dyDescent="0.3">
      <c r="B44" s="17" t="s">
        <v>19</v>
      </c>
      <c r="C44" s="16">
        <v>50</v>
      </c>
      <c r="D44" s="16">
        <v>20</v>
      </c>
      <c r="E44" s="16"/>
      <c r="F44" s="16"/>
      <c r="G44" s="16">
        <v>30</v>
      </c>
      <c r="H44" s="16">
        <v>20</v>
      </c>
      <c r="I44" s="15">
        <f t="shared" si="8"/>
        <v>120</v>
      </c>
      <c r="J44" s="14">
        <f>I44*92</f>
        <v>11040</v>
      </c>
      <c r="K44" s="16"/>
      <c r="L44" s="16">
        <v>130</v>
      </c>
      <c r="M44" s="16"/>
      <c r="N44" s="16">
        <v>19</v>
      </c>
      <c r="O44" s="16"/>
      <c r="P44" s="16"/>
      <c r="Q44" s="15">
        <f>SUM(K44:P44)</f>
        <v>149</v>
      </c>
      <c r="R44" s="14">
        <f>Q44*92</f>
        <v>13708</v>
      </c>
      <c r="S44" s="16">
        <v>60</v>
      </c>
      <c r="T44" s="16"/>
      <c r="U44" s="16">
        <v>10</v>
      </c>
      <c r="V44" s="16" t="s">
        <v>65</v>
      </c>
      <c r="W44" s="16">
        <v>90</v>
      </c>
      <c r="X44" s="16"/>
      <c r="Y44" s="15">
        <f t="shared" si="7"/>
        <v>160</v>
      </c>
      <c r="Z44" s="14">
        <f>Y44*92</f>
        <v>14720</v>
      </c>
      <c r="AA44" s="16"/>
      <c r="AB44" s="16"/>
      <c r="AC44" s="16"/>
      <c r="AD44" s="16">
        <v>25</v>
      </c>
      <c r="AE44" s="16"/>
      <c r="AF44" s="16">
        <v>112</v>
      </c>
      <c r="AG44" s="15">
        <f t="shared" si="4"/>
        <v>137</v>
      </c>
      <c r="AH44" s="14">
        <f>AG44*92</f>
        <v>12604</v>
      </c>
      <c r="AJ44" s="41"/>
      <c r="AK44" s="40"/>
    </row>
    <row r="45" spans="2:38" x14ac:dyDescent="0.3">
      <c r="B45" s="17" t="s">
        <v>18</v>
      </c>
      <c r="C45" s="16">
        <v>10</v>
      </c>
      <c r="D45" s="16"/>
      <c r="E45" s="16"/>
      <c r="F45" s="16"/>
      <c r="G45" s="16"/>
      <c r="H45" s="16"/>
      <c r="I45" s="15">
        <f t="shared" si="8"/>
        <v>10</v>
      </c>
      <c r="J45" s="14">
        <f>I45*95</f>
        <v>950</v>
      </c>
      <c r="K45" s="16"/>
      <c r="L45" s="16"/>
      <c r="M45" s="16"/>
      <c r="N45" s="16"/>
      <c r="O45" s="16"/>
      <c r="P45" s="16"/>
      <c r="Q45" s="15">
        <f>SUM(K45:P45)</f>
        <v>0</v>
      </c>
      <c r="R45" s="14">
        <f>Q45*95</f>
        <v>0</v>
      </c>
      <c r="S45" s="16"/>
      <c r="T45" s="16">
        <v>60</v>
      </c>
      <c r="U45" s="16"/>
      <c r="V45" s="16"/>
      <c r="W45" s="16"/>
      <c r="X45" s="16"/>
      <c r="Y45" s="15">
        <f t="shared" si="7"/>
        <v>60</v>
      </c>
      <c r="Z45" s="14">
        <f>Y45*95</f>
        <v>5700</v>
      </c>
      <c r="AA45" s="16">
        <v>20</v>
      </c>
      <c r="AB45" s="16"/>
      <c r="AC45" s="16"/>
      <c r="AD45" s="16"/>
      <c r="AE45" s="16"/>
      <c r="AF45" s="16"/>
      <c r="AG45" s="15">
        <f t="shared" si="4"/>
        <v>20</v>
      </c>
      <c r="AH45" s="14">
        <f>AG45*95</f>
        <v>1900</v>
      </c>
    </row>
    <row r="46" spans="2:38" x14ac:dyDescent="0.3">
      <c r="B46" s="17" t="s">
        <v>17</v>
      </c>
      <c r="C46" s="16">
        <v>15</v>
      </c>
      <c r="D46" s="16">
        <v>28</v>
      </c>
      <c r="E46" s="16">
        <v>3</v>
      </c>
      <c r="F46" s="16"/>
      <c r="G46" s="16">
        <v>20</v>
      </c>
      <c r="H46" s="16"/>
      <c r="I46" s="15">
        <f t="shared" si="8"/>
        <v>66</v>
      </c>
      <c r="J46" s="14">
        <f>I46*93</f>
        <v>6138</v>
      </c>
      <c r="K46" s="16">
        <v>27</v>
      </c>
      <c r="L46" s="16">
        <v>15</v>
      </c>
      <c r="M46" s="16"/>
      <c r="N46" s="16"/>
      <c r="O46" s="16"/>
      <c r="P46" s="16">
        <v>5</v>
      </c>
      <c r="Q46" s="15">
        <f>SUM(K46:P46)</f>
        <v>47</v>
      </c>
      <c r="R46" s="14">
        <f>Q46*93</f>
        <v>4371</v>
      </c>
      <c r="S46" s="16">
        <v>30</v>
      </c>
      <c r="T46" s="16">
        <v>21</v>
      </c>
      <c r="U46" s="16"/>
      <c r="V46" s="16"/>
      <c r="W46" s="16"/>
      <c r="X46" s="16"/>
      <c r="Y46" s="15">
        <f t="shared" si="7"/>
        <v>51</v>
      </c>
      <c r="Z46" s="14">
        <f>Y46*93</f>
        <v>4743</v>
      </c>
      <c r="AA46" s="16">
        <v>23</v>
      </c>
      <c r="AB46" s="16">
        <v>23</v>
      </c>
      <c r="AC46" s="16"/>
      <c r="AD46" s="16"/>
      <c r="AE46" s="16"/>
      <c r="AF46" s="16"/>
      <c r="AG46" s="15">
        <f t="shared" si="4"/>
        <v>46</v>
      </c>
      <c r="AH46" s="14">
        <f>AG46*93</f>
        <v>4278</v>
      </c>
    </row>
    <row r="47" spans="2:38" x14ac:dyDescent="0.3">
      <c r="B47" s="17" t="s">
        <v>14</v>
      </c>
      <c r="C47" s="16">
        <v>25</v>
      </c>
      <c r="D47" s="16">
        <v>15</v>
      </c>
      <c r="E47" s="16"/>
      <c r="F47" s="16">
        <v>17</v>
      </c>
      <c r="G47" s="16">
        <v>80</v>
      </c>
      <c r="H47" s="16">
        <v>10</v>
      </c>
      <c r="I47" s="15">
        <f t="shared" si="8"/>
        <v>147</v>
      </c>
      <c r="J47" s="14">
        <f>I47*52</f>
        <v>7644</v>
      </c>
      <c r="K47" s="16">
        <v>22</v>
      </c>
      <c r="L47" s="16">
        <v>5</v>
      </c>
      <c r="M47" s="16">
        <v>4</v>
      </c>
      <c r="N47" s="16">
        <v>10</v>
      </c>
      <c r="O47" s="16"/>
      <c r="P47" s="16">
        <v>25</v>
      </c>
      <c r="Q47" s="15">
        <f>SUM(K47:P47)</f>
        <v>66</v>
      </c>
      <c r="R47" s="14">
        <f>Q47*52</f>
        <v>3432</v>
      </c>
      <c r="S47" s="16">
        <v>12</v>
      </c>
      <c r="T47" s="16">
        <v>38</v>
      </c>
      <c r="U47" s="16">
        <v>30</v>
      </c>
      <c r="V47" s="16">
        <v>10</v>
      </c>
      <c r="W47" s="16">
        <v>30</v>
      </c>
      <c r="X47" s="16">
        <v>50</v>
      </c>
      <c r="Y47" s="15">
        <f t="shared" si="7"/>
        <v>170</v>
      </c>
      <c r="Z47" s="14">
        <f>Y47*52</f>
        <v>8840</v>
      </c>
      <c r="AA47" s="16">
        <v>20</v>
      </c>
      <c r="AB47" s="16">
        <v>27</v>
      </c>
      <c r="AC47" s="16">
        <v>15</v>
      </c>
      <c r="AD47" s="16">
        <v>22</v>
      </c>
      <c r="AE47" s="16"/>
      <c r="AF47" s="16">
        <v>60</v>
      </c>
      <c r="AG47" s="15">
        <f t="shared" si="4"/>
        <v>144</v>
      </c>
      <c r="AH47" s="14">
        <f>AG47*52</f>
        <v>7488</v>
      </c>
    </row>
    <row r="48" spans="2:38" ht="15.6" x14ac:dyDescent="0.3">
      <c r="C48" s="10"/>
      <c r="D48" s="10"/>
      <c r="E48" s="10"/>
      <c r="F48" s="10"/>
      <c r="G48" s="10"/>
      <c r="H48" s="10"/>
      <c r="I48" s="39">
        <f>SUM(I20:I43)</f>
        <v>558</v>
      </c>
      <c r="J48" s="38">
        <f>SUM(J20:J43)</f>
        <v>37104</v>
      </c>
      <c r="K48" s="10"/>
      <c r="L48" s="10"/>
      <c r="M48" s="10"/>
      <c r="N48" s="10"/>
      <c r="O48" s="10"/>
      <c r="P48" s="10"/>
      <c r="Q48" s="39">
        <f>SUM(Q20:Q43)</f>
        <v>399</v>
      </c>
      <c r="R48" s="38">
        <f>SUM(R20:R43)</f>
        <v>24810</v>
      </c>
      <c r="S48" s="10"/>
      <c r="T48" s="10"/>
      <c r="U48" s="10"/>
      <c r="V48" s="10"/>
      <c r="W48" s="10"/>
      <c r="X48" s="10"/>
      <c r="Y48" s="39">
        <f>SUM(Y20:Y43)</f>
        <v>978</v>
      </c>
      <c r="Z48" s="38">
        <f>SUM(Z20:Z43)</f>
        <v>71706</v>
      </c>
      <c r="AA48" s="10"/>
      <c r="AB48" s="10"/>
      <c r="AC48" s="10"/>
      <c r="AD48" s="10"/>
      <c r="AE48" s="10"/>
      <c r="AF48" s="10"/>
      <c r="AG48" s="39">
        <f>SUM(AG20:AG43)</f>
        <v>344</v>
      </c>
      <c r="AH48" s="38">
        <f>SUM(AH20:AH43)</f>
        <v>28563</v>
      </c>
      <c r="AJ48" s="35" t="s">
        <v>15</v>
      </c>
      <c r="AK48" s="37">
        <f>I51+Q51+Y51+AG51</f>
        <v>866</v>
      </c>
      <c r="AL48" s="30">
        <f>AK49/AK48</f>
        <v>92.55427251732101</v>
      </c>
    </row>
    <row r="49" spans="2:41" ht="15.6" x14ac:dyDescent="0.3">
      <c r="C49" s="32"/>
      <c r="D49" s="32"/>
      <c r="E49" s="32"/>
      <c r="F49" s="32"/>
      <c r="G49" s="32"/>
      <c r="H49" s="32"/>
      <c r="I49" s="36"/>
      <c r="J49" s="11"/>
      <c r="K49" s="32"/>
      <c r="L49" s="32"/>
      <c r="M49" s="32"/>
      <c r="N49" s="32"/>
      <c r="O49" s="32"/>
      <c r="P49" s="32"/>
      <c r="Q49" s="36"/>
      <c r="R49" s="11"/>
      <c r="S49" s="32"/>
      <c r="T49" s="32"/>
      <c r="U49" s="32"/>
      <c r="V49" s="32"/>
      <c r="W49" s="32"/>
      <c r="X49" s="32"/>
      <c r="Y49" s="36"/>
      <c r="Z49" s="11"/>
      <c r="AA49" s="32"/>
      <c r="AB49" s="32"/>
      <c r="AC49" s="32"/>
      <c r="AD49" s="32"/>
      <c r="AE49" s="32"/>
      <c r="AF49" s="32"/>
      <c r="AG49" s="36"/>
      <c r="AH49" s="11"/>
      <c r="AJ49" s="35" t="s">
        <v>3</v>
      </c>
      <c r="AK49" s="34">
        <f>J51+R51+Z51+AH51</f>
        <v>80152</v>
      </c>
    </row>
    <row r="50" spans="2:41" ht="15.6" x14ac:dyDescent="0.3">
      <c r="B50" s="29" t="s">
        <v>13</v>
      </c>
      <c r="C50" s="32"/>
      <c r="D50" s="32"/>
      <c r="E50" s="32"/>
      <c r="F50" s="32"/>
      <c r="H50" s="32"/>
      <c r="I50" s="4">
        <f>I48+I19</f>
        <v>1878</v>
      </c>
      <c r="J50" s="28">
        <f>J48+J19</f>
        <v>128450</v>
      </c>
      <c r="K50" s="32"/>
      <c r="L50" s="32"/>
      <c r="M50" s="32"/>
      <c r="N50" s="32"/>
      <c r="O50" s="32"/>
      <c r="P50" s="32"/>
      <c r="Q50" s="4">
        <f>Q48+Q19</f>
        <v>1285</v>
      </c>
      <c r="R50" s="28">
        <f>R48+R19</f>
        <v>88089</v>
      </c>
      <c r="S50" s="11">
        <f>R50/Q50</f>
        <v>68.551750972762648</v>
      </c>
      <c r="T50" s="32"/>
      <c r="U50" s="32"/>
      <c r="W50" s="32"/>
      <c r="X50" s="11">
        <f>Z50/Y50</f>
        <v>73.953346855983767</v>
      </c>
      <c r="Y50" s="4">
        <f>Y48+Y19</f>
        <v>1972</v>
      </c>
      <c r="Z50" s="28">
        <f>Z48+Z19</f>
        <v>145836</v>
      </c>
      <c r="AA50" s="32"/>
      <c r="AC50" s="32"/>
      <c r="AD50" s="32"/>
      <c r="AE50" s="32"/>
      <c r="AF50" s="11">
        <f>AH50/AG50</f>
        <v>76.485875706214685</v>
      </c>
      <c r="AG50" s="4">
        <f>AG48+AG19</f>
        <v>1239</v>
      </c>
      <c r="AH50" s="28">
        <f>AH48+AH19</f>
        <v>94766</v>
      </c>
    </row>
    <row r="51" spans="2:41" ht="15.6" x14ac:dyDescent="0.3">
      <c r="B51" s="29" t="s">
        <v>15</v>
      </c>
      <c r="C51" s="32"/>
      <c r="D51" s="32"/>
      <c r="E51" s="32"/>
      <c r="F51" s="32"/>
      <c r="G51" s="32"/>
      <c r="H51" s="32"/>
      <c r="I51" s="4">
        <f>SUM(I44:I46)</f>
        <v>196</v>
      </c>
      <c r="J51" s="28">
        <f>SUM(J44:J46)</f>
        <v>18128</v>
      </c>
      <c r="K51" s="32"/>
      <c r="L51" s="32"/>
      <c r="M51" s="32"/>
      <c r="N51" s="32"/>
      <c r="O51" s="32"/>
      <c r="P51" s="32"/>
      <c r="Q51" s="4">
        <f>SUM(Q44:Q46)</f>
        <v>196</v>
      </c>
      <c r="R51" s="28">
        <f>SUM(R44:R46)</f>
        <v>18079</v>
      </c>
      <c r="S51" s="32"/>
      <c r="T51" s="32"/>
      <c r="U51" s="32"/>
      <c r="V51" s="32"/>
      <c r="W51" s="32"/>
      <c r="X51" s="32"/>
      <c r="Y51" s="4">
        <f>SUM(Y44:Y46)</f>
        <v>271</v>
      </c>
      <c r="Z51" s="28">
        <f>SUM(Z44:Z46)</f>
        <v>25163</v>
      </c>
      <c r="AA51" s="32"/>
      <c r="AB51" s="32"/>
      <c r="AC51" s="32"/>
      <c r="AD51" s="32"/>
      <c r="AE51" s="32"/>
      <c r="AF51" s="32"/>
      <c r="AG51" s="4">
        <f>SUM(AG44:AG46)</f>
        <v>203</v>
      </c>
      <c r="AH51" s="28">
        <f>SUM(AH44:AH46)</f>
        <v>18782</v>
      </c>
      <c r="AJ51" s="27" t="s">
        <v>14</v>
      </c>
      <c r="AK51" s="31">
        <f>I52+Q52+Y52+AG52</f>
        <v>527</v>
      </c>
      <c r="AL51" s="30">
        <f>AK52/AK51</f>
        <v>52</v>
      </c>
    </row>
    <row r="52" spans="2:41" ht="15.6" x14ac:dyDescent="0.3">
      <c r="B52" s="29" t="s">
        <v>14</v>
      </c>
      <c r="I52" s="4">
        <f>I47</f>
        <v>147</v>
      </c>
      <c r="J52" s="28">
        <f>J47</f>
        <v>7644</v>
      </c>
      <c r="K52" s="32"/>
      <c r="Q52" s="4">
        <f>Q47</f>
        <v>66</v>
      </c>
      <c r="R52" s="28">
        <f>R47</f>
        <v>3432</v>
      </c>
      <c r="Y52" s="4">
        <f>Y47</f>
        <v>170</v>
      </c>
      <c r="Z52" s="28">
        <f>Z47</f>
        <v>8840</v>
      </c>
      <c r="AG52" s="4">
        <f>AG47</f>
        <v>144</v>
      </c>
      <c r="AH52" s="28">
        <f>AH47</f>
        <v>7488</v>
      </c>
      <c r="AJ52" s="27" t="s">
        <v>3</v>
      </c>
      <c r="AK52" s="26">
        <f>J52+R52+Z52+AH52</f>
        <v>27404</v>
      </c>
    </row>
    <row r="53" spans="2:41" ht="15.6" x14ac:dyDescent="0.3">
      <c r="J53">
        <f>SUM(H53:I53)</f>
        <v>0</v>
      </c>
      <c r="K53" s="32">
        <f>J53*50</f>
        <v>0</v>
      </c>
    </row>
    <row r="55" spans="2:41" s="22" customFormat="1" ht="13.8" customHeight="1" x14ac:dyDescent="0.3">
      <c r="B55" s="25" t="s">
        <v>13</v>
      </c>
      <c r="C55" s="24">
        <v>45964</v>
      </c>
      <c r="D55" s="24">
        <v>45965</v>
      </c>
      <c r="E55" s="24">
        <v>45966</v>
      </c>
      <c r="F55" s="24">
        <v>45967</v>
      </c>
      <c r="G55" s="24">
        <v>45968</v>
      </c>
      <c r="H55" s="24">
        <v>45969</v>
      </c>
      <c r="I55" s="23" t="s">
        <v>12</v>
      </c>
      <c r="J55" s="23" t="s">
        <v>11</v>
      </c>
      <c r="K55" s="24">
        <v>45971</v>
      </c>
      <c r="L55" s="24">
        <v>45972</v>
      </c>
      <c r="M55" s="24">
        <v>45973</v>
      </c>
      <c r="N55" s="24">
        <v>45974</v>
      </c>
      <c r="O55" s="24">
        <v>45975</v>
      </c>
      <c r="P55" s="24">
        <v>45976</v>
      </c>
      <c r="Q55" s="23" t="s">
        <v>12</v>
      </c>
      <c r="R55" s="23" t="s">
        <v>11</v>
      </c>
      <c r="S55" s="24">
        <v>45978</v>
      </c>
      <c r="T55" s="24">
        <v>45979</v>
      </c>
      <c r="U55" s="24">
        <v>45980</v>
      </c>
      <c r="V55" s="24">
        <v>45981</v>
      </c>
      <c r="W55" s="24">
        <v>45982</v>
      </c>
      <c r="X55" s="24">
        <v>45983</v>
      </c>
      <c r="Y55" s="23" t="s">
        <v>12</v>
      </c>
      <c r="Z55" s="23" t="s">
        <v>11</v>
      </c>
      <c r="AA55" s="24">
        <v>45985</v>
      </c>
      <c r="AB55" s="24">
        <v>45986</v>
      </c>
      <c r="AC55" s="24">
        <v>45987</v>
      </c>
      <c r="AD55" s="24">
        <v>45988</v>
      </c>
      <c r="AE55" s="24">
        <v>45989</v>
      </c>
      <c r="AF55" s="24">
        <v>45990</v>
      </c>
      <c r="AG55" s="23" t="s">
        <v>12</v>
      </c>
      <c r="AH55" s="23" t="s">
        <v>11</v>
      </c>
    </row>
    <row r="56" spans="2:41" ht="15" customHeight="1" x14ac:dyDescent="0.3">
      <c r="B56" s="17" t="s">
        <v>10</v>
      </c>
      <c r="C56" s="16">
        <v>320</v>
      </c>
      <c r="D56" s="16">
        <v>139</v>
      </c>
      <c r="E56" s="16">
        <v>12</v>
      </c>
      <c r="F56" s="16">
        <v>415</v>
      </c>
      <c r="G56" s="16">
        <v>205</v>
      </c>
      <c r="H56" s="16">
        <v>85</v>
      </c>
      <c r="I56" s="15">
        <f t="shared" ref="I56:I61" si="9">SUM(C56:H56)</f>
        <v>1176</v>
      </c>
      <c r="J56" s="14">
        <f>I56*90</f>
        <v>105840</v>
      </c>
      <c r="K56" s="16">
        <v>193</v>
      </c>
      <c r="L56" s="16">
        <v>290</v>
      </c>
      <c r="M56" s="16">
        <v>40</v>
      </c>
      <c r="N56" s="16">
        <v>30</v>
      </c>
      <c r="O56" s="16">
        <v>75</v>
      </c>
      <c r="P56" s="16">
        <v>235</v>
      </c>
      <c r="Q56" s="15">
        <f t="shared" ref="Q56:Q61" si="10">SUM(K56:P56)</f>
        <v>863</v>
      </c>
      <c r="R56" s="14">
        <f>Q56*90</f>
        <v>77670</v>
      </c>
      <c r="S56" s="16">
        <v>391</v>
      </c>
      <c r="T56" s="16">
        <v>182</v>
      </c>
      <c r="U56" s="16">
        <v>105</v>
      </c>
      <c r="V56" s="16">
        <v>70</v>
      </c>
      <c r="W56" s="16">
        <v>200</v>
      </c>
      <c r="X56" s="16">
        <v>450</v>
      </c>
      <c r="Y56" s="15">
        <f t="shared" ref="Y56:Y61" si="11">SUM(S56:X56)</f>
        <v>1398</v>
      </c>
      <c r="Z56" s="14">
        <f>Y56*89</f>
        <v>124422</v>
      </c>
      <c r="AA56" s="16">
        <v>130</v>
      </c>
      <c r="AB56" s="16">
        <v>269</v>
      </c>
      <c r="AC56" s="16">
        <v>80</v>
      </c>
      <c r="AD56" s="16">
        <v>115</v>
      </c>
      <c r="AE56" s="16" t="s">
        <v>65</v>
      </c>
      <c r="AF56" s="16">
        <v>355</v>
      </c>
      <c r="AG56" s="15">
        <f t="shared" ref="AG56:AG61" si="12">SUM(AA56:AF56)</f>
        <v>949</v>
      </c>
      <c r="AH56" s="14">
        <f>AG56*89</f>
        <v>84461</v>
      </c>
    </row>
    <row r="57" spans="2:41" x14ac:dyDescent="0.3">
      <c r="B57" s="17" t="s">
        <v>9</v>
      </c>
      <c r="C57" s="16">
        <v>345</v>
      </c>
      <c r="D57" s="16">
        <v>175</v>
      </c>
      <c r="E57" s="16">
        <v>25</v>
      </c>
      <c r="F57" s="16">
        <v>389</v>
      </c>
      <c r="G57" s="16">
        <v>245</v>
      </c>
      <c r="H57" s="16">
        <v>93</v>
      </c>
      <c r="I57" s="15">
        <f t="shared" si="9"/>
        <v>1272</v>
      </c>
      <c r="J57" s="14">
        <f>I57*88</f>
        <v>111936</v>
      </c>
      <c r="K57" s="16">
        <v>142</v>
      </c>
      <c r="L57" s="16">
        <v>320</v>
      </c>
      <c r="M57" s="16">
        <v>20</v>
      </c>
      <c r="N57" s="16">
        <v>35</v>
      </c>
      <c r="O57" s="16">
        <v>60</v>
      </c>
      <c r="P57" s="16">
        <v>330</v>
      </c>
      <c r="Q57" s="15">
        <f t="shared" si="10"/>
        <v>907</v>
      </c>
      <c r="R57" s="14">
        <f>Q57*88</f>
        <v>79816</v>
      </c>
      <c r="S57" s="16">
        <v>311</v>
      </c>
      <c r="T57" s="16">
        <v>175</v>
      </c>
      <c r="U57" s="16">
        <v>105</v>
      </c>
      <c r="V57" s="16">
        <v>35</v>
      </c>
      <c r="W57" s="16">
        <v>231</v>
      </c>
      <c r="X57" s="16">
        <v>370</v>
      </c>
      <c r="Y57" s="15">
        <f t="shared" si="11"/>
        <v>1227</v>
      </c>
      <c r="Z57" s="14">
        <f>Y57*87</f>
        <v>106749</v>
      </c>
      <c r="AA57" s="16">
        <v>142</v>
      </c>
      <c r="AB57" s="16">
        <v>268</v>
      </c>
      <c r="AC57" s="16">
        <v>100</v>
      </c>
      <c r="AD57" s="16">
        <v>70</v>
      </c>
      <c r="AE57" s="16" t="s">
        <v>65</v>
      </c>
      <c r="AF57" s="16">
        <v>320</v>
      </c>
      <c r="AG57" s="15">
        <f t="shared" si="12"/>
        <v>900</v>
      </c>
      <c r="AH57" s="14">
        <f>AG57*87</f>
        <v>78300</v>
      </c>
    </row>
    <row r="58" spans="2:41" ht="15.6" x14ac:dyDescent="0.3">
      <c r="B58" s="17" t="s">
        <v>8</v>
      </c>
      <c r="C58" s="16">
        <v>61</v>
      </c>
      <c r="D58" s="16">
        <v>21</v>
      </c>
      <c r="E58" s="16">
        <v>50</v>
      </c>
      <c r="F58" s="16">
        <v>105</v>
      </c>
      <c r="G58" s="16">
        <v>65</v>
      </c>
      <c r="H58" s="16">
        <v>11</v>
      </c>
      <c r="I58" s="15">
        <f t="shared" si="9"/>
        <v>313</v>
      </c>
      <c r="J58" s="14">
        <f>I58*90</f>
        <v>28170</v>
      </c>
      <c r="K58" s="16">
        <v>36</v>
      </c>
      <c r="L58" s="16">
        <v>173</v>
      </c>
      <c r="M58" s="16">
        <v>30</v>
      </c>
      <c r="N58" s="16" t="s">
        <v>65</v>
      </c>
      <c r="O58" s="16">
        <v>20</v>
      </c>
      <c r="P58" s="16">
        <v>95</v>
      </c>
      <c r="Q58" s="15">
        <f t="shared" si="10"/>
        <v>354</v>
      </c>
      <c r="R58" s="14">
        <f>Q58*90</f>
        <v>31860</v>
      </c>
      <c r="S58" s="16">
        <v>23</v>
      </c>
      <c r="T58" s="16">
        <v>101</v>
      </c>
      <c r="U58" s="16">
        <v>60</v>
      </c>
      <c r="V58" s="16" t="s">
        <v>65</v>
      </c>
      <c r="W58" s="16">
        <v>40</v>
      </c>
      <c r="X58" s="16">
        <v>85</v>
      </c>
      <c r="Y58" s="15">
        <f t="shared" si="11"/>
        <v>309</v>
      </c>
      <c r="Z58" s="14">
        <f>Y58*89</f>
        <v>27501</v>
      </c>
      <c r="AA58" s="16">
        <v>31</v>
      </c>
      <c r="AB58" s="16">
        <v>46</v>
      </c>
      <c r="AC58" s="16">
        <v>55</v>
      </c>
      <c r="AD58" s="16">
        <v>10</v>
      </c>
      <c r="AE58" s="16" t="s">
        <v>65</v>
      </c>
      <c r="AF58" s="16">
        <v>85</v>
      </c>
      <c r="AG58" s="15">
        <f t="shared" si="12"/>
        <v>227</v>
      </c>
      <c r="AH58" s="14">
        <f>AG58*89</f>
        <v>20203</v>
      </c>
      <c r="AJ58" s="19" t="s">
        <v>7</v>
      </c>
      <c r="AK58" s="21">
        <f>I64+Q64+Y64+AG64</f>
        <v>9895</v>
      </c>
      <c r="AL58" s="11">
        <f>AK59/AK58</f>
        <v>88.623345123799893</v>
      </c>
      <c r="AO58">
        <f>ABRIL!AO58-NOVIEMBRE!AK58</f>
        <v>534</v>
      </c>
    </row>
    <row r="59" spans="2:41" ht="15.6" x14ac:dyDescent="0.3">
      <c r="B59" s="17" t="s">
        <v>6</v>
      </c>
      <c r="C59" s="16">
        <v>1</v>
      </c>
      <c r="D59" s="16">
        <v>2</v>
      </c>
      <c r="E59" s="16" t="s">
        <v>65</v>
      </c>
      <c r="F59" s="16">
        <v>3</v>
      </c>
      <c r="G59" s="16">
        <v>27</v>
      </c>
      <c r="H59" s="16">
        <v>1</v>
      </c>
      <c r="I59" s="15">
        <f t="shared" si="9"/>
        <v>34</v>
      </c>
      <c r="J59" s="14">
        <f>I59*75</f>
        <v>2550</v>
      </c>
      <c r="K59" s="16">
        <v>2</v>
      </c>
      <c r="L59" s="16">
        <v>5</v>
      </c>
      <c r="M59" s="16" t="s">
        <v>65</v>
      </c>
      <c r="N59" s="16">
        <v>5</v>
      </c>
      <c r="O59" s="16"/>
      <c r="P59" s="16"/>
      <c r="Q59" s="15">
        <f t="shared" si="10"/>
        <v>12</v>
      </c>
      <c r="R59" s="14">
        <f>Q59*75</f>
        <v>900</v>
      </c>
      <c r="S59" s="16">
        <v>1</v>
      </c>
      <c r="T59" s="16">
        <v>4</v>
      </c>
      <c r="U59" s="16"/>
      <c r="V59" s="16" t="s">
        <v>65</v>
      </c>
      <c r="W59" s="16">
        <v>9</v>
      </c>
      <c r="X59" s="16" t="s">
        <v>65</v>
      </c>
      <c r="Y59" s="15">
        <f t="shared" si="11"/>
        <v>14</v>
      </c>
      <c r="Z59" s="14">
        <f>Y59*74</f>
        <v>1036</v>
      </c>
      <c r="AA59" s="16" t="s">
        <v>65</v>
      </c>
      <c r="AB59" s="16">
        <v>5</v>
      </c>
      <c r="AC59" s="16">
        <v>20</v>
      </c>
      <c r="AD59" s="16"/>
      <c r="AE59" s="16" t="s">
        <v>65</v>
      </c>
      <c r="AF59" s="16" t="s">
        <v>65</v>
      </c>
      <c r="AG59" s="15">
        <f t="shared" si="12"/>
        <v>25</v>
      </c>
      <c r="AH59" s="14">
        <f>AG59*74</f>
        <v>1850</v>
      </c>
      <c r="AJ59" s="19" t="s">
        <v>3</v>
      </c>
      <c r="AK59" s="18">
        <f>J64+R64+Z64+AH64</f>
        <v>876928</v>
      </c>
    </row>
    <row r="60" spans="2:41" x14ac:dyDescent="0.3">
      <c r="B60" s="17" t="s">
        <v>4</v>
      </c>
      <c r="C60" s="16">
        <v>93</v>
      </c>
      <c r="D60" s="16">
        <v>37</v>
      </c>
      <c r="E60" s="16">
        <v>151</v>
      </c>
      <c r="F60" s="16">
        <v>50</v>
      </c>
      <c r="G60" s="16">
        <v>60</v>
      </c>
      <c r="H60" s="16">
        <v>15</v>
      </c>
      <c r="I60" s="15">
        <f t="shared" si="9"/>
        <v>406</v>
      </c>
      <c r="J60" s="14">
        <f>I60*93</f>
        <v>37758</v>
      </c>
      <c r="K60" s="16">
        <v>48</v>
      </c>
      <c r="L60" s="16">
        <v>53</v>
      </c>
      <c r="M60" s="16">
        <v>5</v>
      </c>
      <c r="N60" s="16">
        <v>20</v>
      </c>
      <c r="O60" s="16">
        <v>30</v>
      </c>
      <c r="P60" s="16">
        <v>205</v>
      </c>
      <c r="Q60" s="15">
        <f t="shared" si="10"/>
        <v>361</v>
      </c>
      <c r="R60" s="14">
        <f>Q60*93</f>
        <v>33573</v>
      </c>
      <c r="S60" s="16">
        <v>44</v>
      </c>
      <c r="T60" s="16">
        <v>91</v>
      </c>
      <c r="U60" s="16">
        <v>50</v>
      </c>
      <c r="V60" s="16">
        <v>16</v>
      </c>
      <c r="W60" s="16">
        <v>75</v>
      </c>
      <c r="X60" s="16">
        <v>40</v>
      </c>
      <c r="Y60" s="15">
        <f t="shared" si="11"/>
        <v>316</v>
      </c>
      <c r="Z60" s="14">
        <f>Y60*93</f>
        <v>29388</v>
      </c>
      <c r="AA60" s="16">
        <v>52</v>
      </c>
      <c r="AB60" s="16">
        <v>92</v>
      </c>
      <c r="AC60" s="16"/>
      <c r="AD60" s="16">
        <v>10</v>
      </c>
      <c r="AE60" s="16" t="s">
        <v>65</v>
      </c>
      <c r="AF60" s="16">
        <v>20</v>
      </c>
      <c r="AG60" s="15">
        <f t="shared" si="12"/>
        <v>174</v>
      </c>
      <c r="AH60" s="14">
        <f>AG60*93</f>
        <v>16182</v>
      </c>
    </row>
    <row r="61" spans="2:41" ht="15.6" x14ac:dyDescent="0.3">
      <c r="B61" s="17" t="s">
        <v>5</v>
      </c>
      <c r="C61" s="16">
        <v>1</v>
      </c>
      <c r="D61" s="16"/>
      <c r="E61" s="16"/>
      <c r="F61" s="16" t="s">
        <v>65</v>
      </c>
      <c r="G61" s="16"/>
      <c r="H61" s="16"/>
      <c r="I61" s="15">
        <f t="shared" si="9"/>
        <v>1</v>
      </c>
      <c r="J61" s="14">
        <f>I61*90</f>
        <v>90</v>
      </c>
      <c r="K61" s="16"/>
      <c r="L61" s="16">
        <v>60</v>
      </c>
      <c r="M61" s="16"/>
      <c r="N61" s="16">
        <v>100</v>
      </c>
      <c r="O61" s="16"/>
      <c r="P61" s="16"/>
      <c r="Q61" s="15">
        <f t="shared" si="10"/>
        <v>160</v>
      </c>
      <c r="R61" s="14">
        <f>Q61*90</f>
        <v>14400</v>
      </c>
      <c r="S61" s="16"/>
      <c r="T61" s="16"/>
      <c r="U61" s="16"/>
      <c r="V61" s="16">
        <v>100</v>
      </c>
      <c r="W61" s="16"/>
      <c r="X61" s="16"/>
      <c r="Y61" s="15">
        <f t="shared" si="11"/>
        <v>100</v>
      </c>
      <c r="Z61" s="14">
        <f>Y61*90</f>
        <v>9000</v>
      </c>
      <c r="AA61" s="16"/>
      <c r="AB61" s="16"/>
      <c r="AC61" s="16"/>
      <c r="AD61" s="16"/>
      <c r="AE61" s="16"/>
      <c r="AF61" s="16">
        <v>100</v>
      </c>
      <c r="AG61" s="15">
        <f t="shared" si="12"/>
        <v>100</v>
      </c>
      <c r="AH61" s="14">
        <f>AG61*90</f>
        <v>9000</v>
      </c>
      <c r="AJ61" s="13" t="s">
        <v>4</v>
      </c>
      <c r="AK61" s="12">
        <f>I60+Q60+Y60+AG60</f>
        <v>1257</v>
      </c>
      <c r="AL61" s="11">
        <f>AK62/AK61</f>
        <v>93</v>
      </c>
    </row>
    <row r="62" spans="2:41" ht="15.6" x14ac:dyDescent="0.3">
      <c r="C62" s="10"/>
      <c r="D62" s="10"/>
      <c r="E62" s="10"/>
      <c r="F62" s="10"/>
      <c r="G62" s="10"/>
      <c r="H62" s="10"/>
      <c r="I62" s="9">
        <f>SUM(I56:I61)</f>
        <v>3202</v>
      </c>
      <c r="J62" s="8">
        <f>SUM(J56:J61)</f>
        <v>286344</v>
      </c>
      <c r="K62" s="10"/>
      <c r="L62" s="10"/>
      <c r="M62" s="10"/>
      <c r="N62" s="10"/>
      <c r="O62" s="10"/>
      <c r="P62" s="10"/>
      <c r="Q62" s="9">
        <f>SUM(Q56:Q61)</f>
        <v>2657</v>
      </c>
      <c r="R62" s="8">
        <f>SUM(R56:R61)</f>
        <v>238219</v>
      </c>
      <c r="S62" s="10"/>
      <c r="T62" s="10"/>
      <c r="U62" s="10"/>
      <c r="V62" s="10"/>
      <c r="W62" s="10"/>
      <c r="X62" s="10"/>
      <c r="Y62" s="9">
        <f>SUM(Y56:Y61)</f>
        <v>3364</v>
      </c>
      <c r="Z62" s="8">
        <f>SUM(Z56:Z61)</f>
        <v>298096</v>
      </c>
      <c r="AA62" s="10"/>
      <c r="AB62" s="10"/>
      <c r="AC62" s="10"/>
      <c r="AD62" s="10"/>
      <c r="AE62" s="10"/>
      <c r="AF62" s="10"/>
      <c r="AG62" s="9">
        <f>SUM(AG56:AG61)</f>
        <v>2375</v>
      </c>
      <c r="AH62" s="8">
        <f>SUM(AH56:AH61)</f>
        <v>209996</v>
      </c>
      <c r="AJ62" s="7" t="s">
        <v>3</v>
      </c>
      <c r="AK62" s="6">
        <f>Z60+J60+R60+AH60</f>
        <v>116901</v>
      </c>
    </row>
    <row r="64" spans="2:41" ht="15.6" x14ac:dyDescent="0.3">
      <c r="I64" s="4">
        <f>I56+I57+I58</f>
        <v>2761</v>
      </c>
      <c r="J64" s="3">
        <f>J56+J57+J58</f>
        <v>245946</v>
      </c>
      <c r="Q64" s="4">
        <f>Q56+Q57+Q58</f>
        <v>2124</v>
      </c>
      <c r="R64" s="3">
        <f>R56+R57+R58</f>
        <v>189346</v>
      </c>
      <c r="Y64" s="4">
        <f>Y56+Y57+Y58</f>
        <v>2934</v>
      </c>
      <c r="Z64" s="3">
        <f>Z56+Z57+Z58</f>
        <v>258672</v>
      </c>
      <c r="AG64" s="4">
        <f>AG56+AG57+AG58</f>
        <v>2076</v>
      </c>
      <c r="AH64" s="3">
        <f>AH56+AH57+AH58</f>
        <v>182964</v>
      </c>
    </row>
    <row r="66" spans="36:37" x14ac:dyDescent="0.3">
      <c r="AJ66" s="2" t="s">
        <v>1</v>
      </c>
      <c r="AK66" s="1">
        <f>AK62+AK59+AK20+AK52+AK49</f>
        <v>1558526</v>
      </c>
    </row>
  </sheetData>
  <mergeCells count="2">
    <mergeCell ref="AO3:AP3"/>
    <mergeCell ref="AJ24:AK24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CE32-3CB9-425D-B4F0-0B1E080EB9C3}">
  <dimension ref="B3:AU66"/>
  <sheetViews>
    <sheetView tabSelected="1" zoomScale="110" zoomScaleNormal="110" workbookViewId="0">
      <pane xSplit="2" ySplit="3" topLeftCell="AK4" activePane="bottomRight" state="frozen"/>
      <selection activeCell="O60" sqref="O60"/>
      <selection pane="topRight" activeCell="O60" sqref="O60"/>
      <selection pane="bottomLeft" activeCell="O60" sqref="O60"/>
      <selection pane="bottomRight" activeCell="AP12" sqref="AP12"/>
    </sheetView>
  </sheetViews>
  <sheetFormatPr baseColWidth="10" defaultRowHeight="14.4" x14ac:dyDescent="0.3"/>
  <cols>
    <col min="1" max="1" width="5.6640625" customWidth="1"/>
    <col min="2" max="2" width="18.33203125" customWidth="1"/>
    <col min="9" max="9" width="13.33203125" customWidth="1"/>
    <col min="10" max="10" width="16.109375" customWidth="1"/>
    <col min="17" max="17" width="13.33203125" customWidth="1"/>
    <col min="18" max="18" width="16.109375" customWidth="1"/>
    <col min="25" max="25" width="13.33203125" customWidth="1"/>
    <col min="26" max="26" width="20.21875" customWidth="1"/>
    <col min="27" max="28" width="11.5546875" customWidth="1"/>
    <col min="33" max="33" width="13.33203125" customWidth="1"/>
    <col min="34" max="34" width="20.21875" customWidth="1"/>
    <col min="38" max="38" width="13.33203125" customWidth="1"/>
    <col min="39" max="39" width="20.21875" customWidth="1"/>
    <col min="40" max="40" width="6.5546875" customWidth="1"/>
    <col min="41" max="41" width="15.33203125" customWidth="1"/>
    <col min="42" max="42" width="19.109375" customWidth="1"/>
    <col min="43" max="43" width="13.88671875" customWidth="1"/>
    <col min="45" max="45" width="9.77734375" customWidth="1"/>
    <col min="46" max="46" width="17.109375" customWidth="1"/>
    <col min="47" max="47" width="19.5546875" customWidth="1"/>
  </cols>
  <sheetData>
    <row r="3" spans="2:47" s="22" customFormat="1" ht="13.8" customHeight="1" x14ac:dyDescent="0.3">
      <c r="B3" s="25" t="s">
        <v>13</v>
      </c>
      <c r="C3" s="24">
        <v>45992</v>
      </c>
      <c r="D3" s="24">
        <v>45993</v>
      </c>
      <c r="E3" s="24">
        <v>45994</v>
      </c>
      <c r="F3" s="24">
        <v>45995</v>
      </c>
      <c r="G3" s="24">
        <v>45996</v>
      </c>
      <c r="H3" s="24">
        <v>45997</v>
      </c>
      <c r="I3" s="23" t="s">
        <v>63</v>
      </c>
      <c r="J3" s="23" t="s">
        <v>11</v>
      </c>
      <c r="K3" s="24">
        <v>45999</v>
      </c>
      <c r="L3" s="24">
        <v>46000</v>
      </c>
      <c r="M3" s="24">
        <v>46001</v>
      </c>
      <c r="N3" s="24">
        <v>46002</v>
      </c>
      <c r="O3" s="24">
        <v>46003</v>
      </c>
      <c r="P3" s="24">
        <v>46004</v>
      </c>
      <c r="Q3" s="23" t="s">
        <v>63</v>
      </c>
      <c r="R3" s="23" t="s">
        <v>11</v>
      </c>
      <c r="S3" s="24">
        <v>46006</v>
      </c>
      <c r="T3" s="24">
        <v>46007</v>
      </c>
      <c r="U3" s="24">
        <v>46008</v>
      </c>
      <c r="V3" s="24">
        <v>46009</v>
      </c>
      <c r="W3" s="24">
        <v>46010</v>
      </c>
      <c r="X3" s="24">
        <v>46011</v>
      </c>
      <c r="Y3" s="23" t="s">
        <v>63</v>
      </c>
      <c r="Z3" s="23" t="s">
        <v>11</v>
      </c>
      <c r="AA3" s="24">
        <v>46013</v>
      </c>
      <c r="AB3" s="24">
        <v>46014</v>
      </c>
      <c r="AC3" s="24">
        <v>46015</v>
      </c>
      <c r="AD3" s="24">
        <v>46016</v>
      </c>
      <c r="AE3" s="24">
        <v>46017</v>
      </c>
      <c r="AF3" s="24">
        <v>46018</v>
      </c>
      <c r="AG3" s="23" t="s">
        <v>63</v>
      </c>
      <c r="AH3" s="23" t="s">
        <v>11</v>
      </c>
      <c r="AI3" s="24">
        <v>46020</v>
      </c>
      <c r="AJ3" s="24">
        <v>46021</v>
      </c>
      <c r="AK3" s="24">
        <v>46022</v>
      </c>
      <c r="AL3" s="23" t="s">
        <v>63</v>
      </c>
      <c r="AM3" s="23" t="s">
        <v>11</v>
      </c>
      <c r="AT3" s="68" t="s">
        <v>77</v>
      </c>
      <c r="AU3" s="69"/>
    </row>
    <row r="4" spans="2:47" ht="15.6" customHeight="1" x14ac:dyDescent="0.3">
      <c r="B4" s="17" t="s">
        <v>62</v>
      </c>
      <c r="C4" s="16" t="s">
        <v>65</v>
      </c>
      <c r="D4" s="16">
        <v>1</v>
      </c>
      <c r="E4" s="16">
        <v>51</v>
      </c>
      <c r="F4" s="16">
        <v>30</v>
      </c>
      <c r="G4" s="16" t="s">
        <v>65</v>
      </c>
      <c r="H4" s="16">
        <v>75</v>
      </c>
      <c r="I4" s="15">
        <f>SUM(C4:H4)</f>
        <v>157</v>
      </c>
      <c r="J4" s="14">
        <f>I4*60</f>
        <v>9420</v>
      </c>
      <c r="K4" s="62"/>
      <c r="L4" s="62"/>
      <c r="M4" s="16">
        <v>51</v>
      </c>
      <c r="N4" s="16">
        <v>10</v>
      </c>
      <c r="O4" s="16">
        <v>15</v>
      </c>
      <c r="P4" s="16">
        <v>42</v>
      </c>
      <c r="Q4" s="15">
        <f>SUM(K4:P4)</f>
        <v>118</v>
      </c>
      <c r="R4" s="14">
        <f>Q4*60</f>
        <v>7080</v>
      </c>
      <c r="S4" s="16">
        <v>82</v>
      </c>
      <c r="T4" s="16">
        <v>1</v>
      </c>
      <c r="U4" s="16">
        <v>22</v>
      </c>
      <c r="V4" s="16">
        <v>56</v>
      </c>
      <c r="W4" s="16">
        <v>10</v>
      </c>
      <c r="X4" s="16" t="s">
        <v>65</v>
      </c>
      <c r="Y4" s="15">
        <f>SUM(S4:X4)</f>
        <v>171</v>
      </c>
      <c r="Z4" s="14">
        <f>Y4*60</f>
        <v>10260</v>
      </c>
      <c r="AA4" s="67">
        <v>23</v>
      </c>
      <c r="AB4" s="16">
        <v>23</v>
      </c>
      <c r="AC4" s="16">
        <v>16</v>
      </c>
      <c r="AD4" s="62"/>
      <c r="AE4" s="16">
        <v>7</v>
      </c>
      <c r="AF4" s="16">
        <v>55</v>
      </c>
      <c r="AG4" s="15">
        <f>SUM(AA4:AF4)</f>
        <v>124</v>
      </c>
      <c r="AH4" s="14">
        <f>AG4*60</f>
        <v>7440</v>
      </c>
      <c r="AI4" s="16">
        <v>22</v>
      </c>
      <c r="AJ4" s="16">
        <v>37</v>
      </c>
      <c r="AK4" s="16">
        <v>8</v>
      </c>
      <c r="AL4" s="15">
        <f>SUM(AI4:AK4)</f>
        <v>67</v>
      </c>
      <c r="AM4" s="14">
        <f>AL4*60</f>
        <v>4020</v>
      </c>
      <c r="AT4" s="60" t="s">
        <v>48</v>
      </c>
      <c r="AU4" s="48">
        <f>AP19</f>
        <v>5675</v>
      </c>
    </row>
    <row r="5" spans="2:47" ht="15.6" x14ac:dyDescent="0.3">
      <c r="B5" s="17" t="s">
        <v>61</v>
      </c>
      <c r="C5" s="16" t="s">
        <v>65</v>
      </c>
      <c r="D5" s="16" t="s">
        <v>65</v>
      </c>
      <c r="E5" s="16">
        <v>21</v>
      </c>
      <c r="F5" s="16">
        <v>40</v>
      </c>
      <c r="G5" s="16" t="s">
        <v>65</v>
      </c>
      <c r="H5" s="16">
        <v>37</v>
      </c>
      <c r="I5" s="15">
        <f t="shared" ref="I5:I18" si="0">SUM(C5:H5)</f>
        <v>98</v>
      </c>
      <c r="J5" s="14">
        <f>I5*60</f>
        <v>5880</v>
      </c>
      <c r="K5" s="62"/>
      <c r="L5" s="62"/>
      <c r="M5" s="16">
        <v>60</v>
      </c>
      <c r="N5" s="16">
        <v>10</v>
      </c>
      <c r="O5" s="16" t="s">
        <v>65</v>
      </c>
      <c r="P5" s="16">
        <v>10</v>
      </c>
      <c r="Q5" s="15">
        <f t="shared" ref="Q5:Q18" si="1">SUM(K5:P5)</f>
        <v>80</v>
      </c>
      <c r="R5" s="14">
        <f>Q5*60</f>
        <v>4800</v>
      </c>
      <c r="S5" s="16">
        <v>55</v>
      </c>
      <c r="T5" s="16" t="s">
        <v>65</v>
      </c>
      <c r="U5" s="16">
        <v>35</v>
      </c>
      <c r="V5" s="16">
        <v>46</v>
      </c>
      <c r="W5" s="16">
        <v>10</v>
      </c>
      <c r="X5" s="16" t="s">
        <v>65</v>
      </c>
      <c r="Y5" s="15">
        <f t="shared" ref="Y5:Y18" si="2">SUM(S5:X5)</f>
        <v>146</v>
      </c>
      <c r="Z5" s="14">
        <f>Y5*60</f>
        <v>8760</v>
      </c>
      <c r="AA5" s="16">
        <v>21</v>
      </c>
      <c r="AB5" s="16">
        <v>19</v>
      </c>
      <c r="AC5" s="16">
        <v>25</v>
      </c>
      <c r="AD5" s="62"/>
      <c r="AE5" s="16">
        <v>25</v>
      </c>
      <c r="AF5" s="16">
        <v>10</v>
      </c>
      <c r="AG5" s="15">
        <f t="shared" ref="AG5:AG18" si="3">SUM(AA5:AF5)</f>
        <v>100</v>
      </c>
      <c r="AH5" s="14">
        <f>AG5*60</f>
        <v>6000</v>
      </c>
      <c r="AI5" s="16" t="s">
        <v>65</v>
      </c>
      <c r="AJ5" s="16">
        <v>72</v>
      </c>
      <c r="AK5" s="16">
        <v>10</v>
      </c>
      <c r="AL5" s="15">
        <f t="shared" ref="AL5:AL18" si="4">SUM(AI5:AK5)</f>
        <v>82</v>
      </c>
      <c r="AM5" s="14">
        <f>AL5*60</f>
        <v>4920</v>
      </c>
      <c r="AT5" s="60" t="s">
        <v>3</v>
      </c>
      <c r="AU5" s="46">
        <f>AP20</f>
        <v>422943</v>
      </c>
    </row>
    <row r="6" spans="2:47" ht="15.6" x14ac:dyDescent="0.3">
      <c r="B6" s="17" t="s">
        <v>60</v>
      </c>
      <c r="C6" s="16" t="s">
        <v>65</v>
      </c>
      <c r="D6" s="16">
        <v>1</v>
      </c>
      <c r="E6" s="16">
        <v>17</v>
      </c>
      <c r="F6" s="16">
        <v>5</v>
      </c>
      <c r="G6" s="16" t="s">
        <v>65</v>
      </c>
      <c r="H6" s="16">
        <v>17</v>
      </c>
      <c r="I6" s="15">
        <f t="shared" si="0"/>
        <v>40</v>
      </c>
      <c r="J6" s="14">
        <f>I6*61</f>
        <v>2440</v>
      </c>
      <c r="K6" s="62"/>
      <c r="L6" s="62"/>
      <c r="M6" s="16" t="s">
        <v>65</v>
      </c>
      <c r="N6" s="16">
        <v>11</v>
      </c>
      <c r="O6" s="16">
        <v>22</v>
      </c>
      <c r="P6" s="16">
        <v>6</v>
      </c>
      <c r="Q6" s="15">
        <f t="shared" si="1"/>
        <v>39</v>
      </c>
      <c r="R6" s="14">
        <f>Q6*61</f>
        <v>2379</v>
      </c>
      <c r="S6" s="16">
        <v>15</v>
      </c>
      <c r="T6" s="16" t="s">
        <v>65</v>
      </c>
      <c r="U6" s="16">
        <v>7</v>
      </c>
      <c r="V6" s="16">
        <v>18</v>
      </c>
      <c r="W6" s="16">
        <v>1</v>
      </c>
      <c r="X6" s="16" t="s">
        <v>65</v>
      </c>
      <c r="Y6" s="15">
        <f t="shared" si="2"/>
        <v>41</v>
      </c>
      <c r="Z6" s="14">
        <f>Y6*61</f>
        <v>2501</v>
      </c>
      <c r="AA6" s="16" t="s">
        <v>65</v>
      </c>
      <c r="AB6" s="16">
        <v>6</v>
      </c>
      <c r="AC6" s="16">
        <v>15</v>
      </c>
      <c r="AD6" s="62"/>
      <c r="AE6" s="16">
        <v>6</v>
      </c>
      <c r="AF6" s="16">
        <v>1</v>
      </c>
      <c r="AG6" s="15">
        <f t="shared" si="3"/>
        <v>28</v>
      </c>
      <c r="AH6" s="14">
        <f>AG6*61</f>
        <v>1708</v>
      </c>
      <c r="AI6" s="16">
        <v>1</v>
      </c>
      <c r="AJ6" s="16">
        <v>25</v>
      </c>
      <c r="AK6" s="16">
        <v>2</v>
      </c>
      <c r="AL6" s="15">
        <f t="shared" si="4"/>
        <v>28</v>
      </c>
      <c r="AM6" s="14">
        <f>AL6*61</f>
        <v>1708</v>
      </c>
      <c r="AT6" s="59" t="s">
        <v>15</v>
      </c>
      <c r="AU6" s="37">
        <f>AP48</f>
        <v>665</v>
      </c>
    </row>
    <row r="7" spans="2:47" ht="15.6" x14ac:dyDescent="0.3">
      <c r="B7" s="17" t="s">
        <v>59</v>
      </c>
      <c r="C7" s="16" t="s">
        <v>65</v>
      </c>
      <c r="D7" s="16">
        <v>21</v>
      </c>
      <c r="E7" s="16">
        <v>37</v>
      </c>
      <c r="F7" s="16">
        <v>10</v>
      </c>
      <c r="G7" s="16" t="s">
        <v>65</v>
      </c>
      <c r="H7" s="16">
        <v>15</v>
      </c>
      <c r="I7" s="15">
        <f t="shared" si="0"/>
        <v>83</v>
      </c>
      <c r="J7" s="14">
        <f>I7*60</f>
        <v>4980</v>
      </c>
      <c r="K7" s="62"/>
      <c r="L7" s="62"/>
      <c r="M7" s="16">
        <v>3</v>
      </c>
      <c r="N7" s="16">
        <v>20</v>
      </c>
      <c r="O7" s="16">
        <v>30</v>
      </c>
      <c r="P7" s="16">
        <v>25</v>
      </c>
      <c r="Q7" s="15">
        <f t="shared" si="1"/>
        <v>78</v>
      </c>
      <c r="R7" s="14">
        <f>Q7*60</f>
        <v>4680</v>
      </c>
      <c r="S7" s="16">
        <v>43</v>
      </c>
      <c r="T7" s="16">
        <v>15</v>
      </c>
      <c r="U7" s="16">
        <v>5</v>
      </c>
      <c r="V7" s="16">
        <v>36</v>
      </c>
      <c r="W7" s="16" t="s">
        <v>65</v>
      </c>
      <c r="X7" s="16" t="s">
        <v>65</v>
      </c>
      <c r="Y7" s="15">
        <f t="shared" si="2"/>
        <v>99</v>
      </c>
      <c r="Z7" s="14">
        <f>Y7*60</f>
        <v>5940</v>
      </c>
      <c r="AA7" s="16" t="s">
        <v>65</v>
      </c>
      <c r="AB7" s="16">
        <v>34</v>
      </c>
      <c r="AC7" s="16" t="s">
        <v>65</v>
      </c>
      <c r="AD7" s="62"/>
      <c r="AE7" s="16">
        <v>13</v>
      </c>
      <c r="AF7" s="16" t="s">
        <v>65</v>
      </c>
      <c r="AG7" s="15">
        <f t="shared" si="3"/>
        <v>47</v>
      </c>
      <c r="AH7" s="14">
        <f>AG7*60</f>
        <v>2820</v>
      </c>
      <c r="AI7" s="16" t="s">
        <v>65</v>
      </c>
      <c r="AJ7" s="16">
        <v>25</v>
      </c>
      <c r="AK7" s="16">
        <v>9</v>
      </c>
      <c r="AL7" s="15">
        <f t="shared" si="4"/>
        <v>34</v>
      </c>
      <c r="AM7" s="14">
        <f>AL7*60</f>
        <v>2040</v>
      </c>
      <c r="AT7" s="59" t="s">
        <v>3</v>
      </c>
      <c r="AU7" s="34">
        <f>AP49</f>
        <v>62180</v>
      </c>
    </row>
    <row r="8" spans="2:47" ht="15.6" x14ac:dyDescent="0.3">
      <c r="B8" s="17" t="s">
        <v>58</v>
      </c>
      <c r="C8" s="16" t="s">
        <v>65</v>
      </c>
      <c r="D8" s="16">
        <v>5</v>
      </c>
      <c r="E8" s="16">
        <v>17</v>
      </c>
      <c r="F8" s="16">
        <v>10</v>
      </c>
      <c r="G8" s="16" t="s">
        <v>65</v>
      </c>
      <c r="H8" s="16">
        <v>12</v>
      </c>
      <c r="I8" s="15">
        <f t="shared" si="0"/>
        <v>44</v>
      </c>
      <c r="J8" s="14">
        <f>I8*60</f>
        <v>2640</v>
      </c>
      <c r="K8" s="62"/>
      <c r="L8" s="62"/>
      <c r="M8" s="16" t="s">
        <v>65</v>
      </c>
      <c r="N8" s="16">
        <v>5</v>
      </c>
      <c r="O8" s="16">
        <v>30</v>
      </c>
      <c r="P8" s="16" t="s">
        <v>65</v>
      </c>
      <c r="Q8" s="15">
        <f t="shared" si="1"/>
        <v>35</v>
      </c>
      <c r="R8" s="14">
        <f>Q8*60</f>
        <v>2100</v>
      </c>
      <c r="S8" s="16">
        <v>70</v>
      </c>
      <c r="T8" s="16">
        <v>25</v>
      </c>
      <c r="U8" s="16" t="s">
        <v>65</v>
      </c>
      <c r="V8" s="16">
        <v>45</v>
      </c>
      <c r="W8" s="16" t="s">
        <v>65</v>
      </c>
      <c r="X8" s="16">
        <v>5</v>
      </c>
      <c r="Y8" s="15">
        <f t="shared" si="2"/>
        <v>145</v>
      </c>
      <c r="Z8" s="14">
        <f>Y8*60</f>
        <v>8700</v>
      </c>
      <c r="AA8" s="16">
        <v>5</v>
      </c>
      <c r="AB8" s="16">
        <v>30</v>
      </c>
      <c r="AC8" s="16">
        <v>5</v>
      </c>
      <c r="AD8" s="62"/>
      <c r="AE8" s="16">
        <v>23</v>
      </c>
      <c r="AF8" s="16" t="s">
        <v>65</v>
      </c>
      <c r="AG8" s="15">
        <f t="shared" si="3"/>
        <v>63</v>
      </c>
      <c r="AH8" s="14">
        <f>AG8*60</f>
        <v>3780</v>
      </c>
      <c r="AI8" s="16">
        <v>1</v>
      </c>
      <c r="AJ8" s="16">
        <v>10</v>
      </c>
      <c r="AK8" s="16">
        <v>13</v>
      </c>
      <c r="AL8" s="15">
        <f t="shared" si="4"/>
        <v>24</v>
      </c>
      <c r="AM8" s="14">
        <f>AL8*60</f>
        <v>1440</v>
      </c>
      <c r="AT8" s="58" t="s">
        <v>14</v>
      </c>
      <c r="AU8" s="31">
        <f>AP51</f>
        <v>421</v>
      </c>
    </row>
    <row r="9" spans="2:47" ht="15.6" x14ac:dyDescent="0.3">
      <c r="B9" s="17" t="s">
        <v>57</v>
      </c>
      <c r="C9" s="16" t="s">
        <v>65</v>
      </c>
      <c r="D9" s="16" t="s">
        <v>65</v>
      </c>
      <c r="E9" s="16">
        <v>6</v>
      </c>
      <c r="F9" s="16" t="s">
        <v>65</v>
      </c>
      <c r="G9" s="16" t="s">
        <v>65</v>
      </c>
      <c r="H9" s="16">
        <v>34</v>
      </c>
      <c r="I9" s="15">
        <f t="shared" si="0"/>
        <v>40</v>
      </c>
      <c r="J9" s="14">
        <f>I9*60</f>
        <v>2400</v>
      </c>
      <c r="K9" s="62"/>
      <c r="L9" s="62"/>
      <c r="M9" s="16">
        <v>10</v>
      </c>
      <c r="N9" s="16">
        <v>1</v>
      </c>
      <c r="O9" s="16">
        <v>2</v>
      </c>
      <c r="P9" s="16">
        <v>18</v>
      </c>
      <c r="Q9" s="15">
        <f t="shared" si="1"/>
        <v>31</v>
      </c>
      <c r="R9" s="14">
        <f>Q9*60</f>
        <v>1860</v>
      </c>
      <c r="S9" s="16">
        <v>8</v>
      </c>
      <c r="T9" s="16">
        <v>8</v>
      </c>
      <c r="U9" s="16">
        <v>8</v>
      </c>
      <c r="V9" s="16">
        <v>1</v>
      </c>
      <c r="W9" s="16">
        <v>1</v>
      </c>
      <c r="X9" s="16" t="s">
        <v>65</v>
      </c>
      <c r="Y9" s="15">
        <f t="shared" si="2"/>
        <v>26</v>
      </c>
      <c r="Z9" s="14">
        <f>Y9*60</f>
        <v>1560</v>
      </c>
      <c r="AA9" s="16">
        <v>10</v>
      </c>
      <c r="AB9" s="16">
        <v>16</v>
      </c>
      <c r="AC9" s="16" t="s">
        <v>65</v>
      </c>
      <c r="AD9" s="62"/>
      <c r="AE9" s="16" t="s">
        <v>65</v>
      </c>
      <c r="AF9" s="16">
        <v>3</v>
      </c>
      <c r="AG9" s="15">
        <f t="shared" si="3"/>
        <v>29</v>
      </c>
      <c r="AH9" s="14">
        <f>AG9*60</f>
        <v>1740</v>
      </c>
      <c r="AI9" s="16">
        <v>1</v>
      </c>
      <c r="AJ9" s="16" t="s">
        <v>65</v>
      </c>
      <c r="AK9" s="16">
        <v>3</v>
      </c>
      <c r="AL9" s="15">
        <f t="shared" si="4"/>
        <v>4</v>
      </c>
      <c r="AM9" s="14">
        <f>AL9*60</f>
        <v>240</v>
      </c>
      <c r="AT9" s="58" t="s">
        <v>3</v>
      </c>
      <c r="AU9" s="26">
        <f>AP52</f>
        <v>21892</v>
      </c>
    </row>
    <row r="10" spans="2:47" ht="15.6" x14ac:dyDescent="0.3">
      <c r="B10" s="17" t="s">
        <v>56</v>
      </c>
      <c r="C10" s="16" t="s">
        <v>65</v>
      </c>
      <c r="D10" s="16" t="s">
        <v>65</v>
      </c>
      <c r="E10" s="16">
        <v>11</v>
      </c>
      <c r="F10" s="16">
        <v>5</v>
      </c>
      <c r="G10" s="16" t="s">
        <v>65</v>
      </c>
      <c r="H10" s="16">
        <v>27</v>
      </c>
      <c r="I10" s="15">
        <f t="shared" si="0"/>
        <v>43</v>
      </c>
      <c r="J10" s="14">
        <f>I10*60</f>
        <v>2580</v>
      </c>
      <c r="K10" s="62"/>
      <c r="L10" s="62"/>
      <c r="M10" s="16">
        <v>20</v>
      </c>
      <c r="N10" s="16">
        <v>21</v>
      </c>
      <c r="O10" s="16">
        <v>10</v>
      </c>
      <c r="P10" s="16">
        <v>5</v>
      </c>
      <c r="Q10" s="15">
        <f t="shared" si="1"/>
        <v>56</v>
      </c>
      <c r="R10" s="14">
        <f>Q10*60</f>
        <v>3360</v>
      </c>
      <c r="S10" s="16">
        <v>10</v>
      </c>
      <c r="T10" s="16">
        <v>8</v>
      </c>
      <c r="U10" s="16" t="s">
        <v>65</v>
      </c>
      <c r="V10" s="16" t="s">
        <v>65</v>
      </c>
      <c r="W10" s="16">
        <v>5</v>
      </c>
      <c r="X10" s="16">
        <v>5</v>
      </c>
      <c r="Y10" s="15">
        <f t="shared" si="2"/>
        <v>28</v>
      </c>
      <c r="Z10" s="14">
        <f>Y10*60</f>
        <v>1680</v>
      </c>
      <c r="AA10" s="16">
        <v>21</v>
      </c>
      <c r="AB10" s="16">
        <v>7</v>
      </c>
      <c r="AC10" s="16">
        <v>4</v>
      </c>
      <c r="AD10" s="62"/>
      <c r="AE10" s="16">
        <v>15</v>
      </c>
      <c r="AF10" s="16">
        <v>1</v>
      </c>
      <c r="AG10" s="15">
        <f t="shared" si="3"/>
        <v>48</v>
      </c>
      <c r="AH10" s="14">
        <f>AG10*60</f>
        <v>2880</v>
      </c>
      <c r="AI10" s="16" t="s">
        <v>65</v>
      </c>
      <c r="AJ10" s="16">
        <v>3</v>
      </c>
      <c r="AK10" s="16">
        <v>9</v>
      </c>
      <c r="AL10" s="15">
        <f t="shared" si="4"/>
        <v>12</v>
      </c>
      <c r="AM10" s="14">
        <f>AL10*60</f>
        <v>720</v>
      </c>
      <c r="AT10" s="57" t="s">
        <v>7</v>
      </c>
      <c r="AU10" s="21">
        <f>AP58</f>
        <v>7380</v>
      </c>
    </row>
    <row r="11" spans="2:47" ht="15.6" x14ac:dyDescent="0.3">
      <c r="B11" s="17" t="s">
        <v>55</v>
      </c>
      <c r="C11" s="16" t="s">
        <v>65</v>
      </c>
      <c r="D11" s="16">
        <v>1</v>
      </c>
      <c r="E11" s="16">
        <v>2</v>
      </c>
      <c r="F11" s="16">
        <v>1</v>
      </c>
      <c r="G11" s="16" t="s">
        <v>65</v>
      </c>
      <c r="H11" s="16">
        <v>2</v>
      </c>
      <c r="I11" s="15">
        <f t="shared" si="0"/>
        <v>6</v>
      </c>
      <c r="J11" s="14">
        <f>I11*65</f>
        <v>390</v>
      </c>
      <c r="K11" s="62"/>
      <c r="L11" s="62"/>
      <c r="M11" s="16">
        <v>6</v>
      </c>
      <c r="N11" s="16">
        <v>6</v>
      </c>
      <c r="O11" s="16">
        <v>1</v>
      </c>
      <c r="P11" s="16">
        <v>5</v>
      </c>
      <c r="Q11" s="15">
        <f t="shared" si="1"/>
        <v>18</v>
      </c>
      <c r="R11" s="14">
        <f>Q11*65</f>
        <v>1170</v>
      </c>
      <c r="S11" s="16" t="s">
        <v>65</v>
      </c>
      <c r="T11" s="16" t="s">
        <v>65</v>
      </c>
      <c r="U11" s="16">
        <v>1</v>
      </c>
      <c r="V11" s="16" t="s">
        <v>65</v>
      </c>
      <c r="W11" s="16">
        <v>1</v>
      </c>
      <c r="X11" s="16">
        <v>15</v>
      </c>
      <c r="Y11" s="15">
        <f t="shared" si="2"/>
        <v>17</v>
      </c>
      <c r="Z11" s="14">
        <f>Y11*65</f>
        <v>1105</v>
      </c>
      <c r="AA11" s="16">
        <v>1</v>
      </c>
      <c r="AB11" s="16">
        <v>2</v>
      </c>
      <c r="AC11" s="16">
        <v>1</v>
      </c>
      <c r="AD11" s="62"/>
      <c r="AE11" s="16" t="s">
        <v>65</v>
      </c>
      <c r="AF11" s="16" t="s">
        <v>65</v>
      </c>
      <c r="AG11" s="15">
        <f t="shared" si="3"/>
        <v>4</v>
      </c>
      <c r="AH11" s="14">
        <f>AG11*65</f>
        <v>260</v>
      </c>
      <c r="AI11" s="16" t="s">
        <v>65</v>
      </c>
      <c r="AJ11" s="16" t="s">
        <v>65</v>
      </c>
      <c r="AK11" s="16" t="s">
        <v>65</v>
      </c>
      <c r="AL11" s="15">
        <f t="shared" si="4"/>
        <v>0</v>
      </c>
      <c r="AM11" s="14">
        <f>AL11*65</f>
        <v>0</v>
      </c>
      <c r="AT11" s="57" t="s">
        <v>3</v>
      </c>
      <c r="AU11" s="18">
        <f>AP59</f>
        <v>694414</v>
      </c>
    </row>
    <row r="12" spans="2:47" ht="15.6" x14ac:dyDescent="0.3">
      <c r="B12" s="17" t="s">
        <v>54</v>
      </c>
      <c r="C12" s="16">
        <v>30</v>
      </c>
      <c r="D12" s="16" t="s">
        <v>65</v>
      </c>
      <c r="E12" s="16">
        <v>2</v>
      </c>
      <c r="F12" s="16" t="s">
        <v>65</v>
      </c>
      <c r="G12" s="16" t="s">
        <v>65</v>
      </c>
      <c r="H12" s="16">
        <v>2</v>
      </c>
      <c r="I12" s="15">
        <f t="shared" si="0"/>
        <v>34</v>
      </c>
      <c r="J12" s="14">
        <f>I12*65</f>
        <v>2210</v>
      </c>
      <c r="K12" s="62"/>
      <c r="L12" s="62"/>
      <c r="M12" s="16">
        <v>6</v>
      </c>
      <c r="N12" s="16">
        <v>6</v>
      </c>
      <c r="O12" s="16" t="s">
        <v>65</v>
      </c>
      <c r="P12" s="16">
        <v>5</v>
      </c>
      <c r="Q12" s="15">
        <f t="shared" si="1"/>
        <v>17</v>
      </c>
      <c r="R12" s="14">
        <f>Q12*65</f>
        <v>1105</v>
      </c>
      <c r="S12" s="20" t="s">
        <v>65</v>
      </c>
      <c r="T12" s="16" t="s">
        <v>65</v>
      </c>
      <c r="U12" s="16">
        <v>1</v>
      </c>
      <c r="V12" s="16" t="s">
        <v>65</v>
      </c>
      <c r="W12" s="16">
        <v>2</v>
      </c>
      <c r="X12" s="16">
        <v>15</v>
      </c>
      <c r="Y12" s="15">
        <f t="shared" si="2"/>
        <v>18</v>
      </c>
      <c r="Z12" s="14">
        <f>Y12*65</f>
        <v>1170</v>
      </c>
      <c r="AA12" s="16">
        <v>1</v>
      </c>
      <c r="AB12" s="16" t="s">
        <v>65</v>
      </c>
      <c r="AC12" s="16">
        <v>1</v>
      </c>
      <c r="AD12" s="62"/>
      <c r="AE12" s="16">
        <v>2</v>
      </c>
      <c r="AF12" s="16" t="s">
        <v>65</v>
      </c>
      <c r="AG12" s="15">
        <f t="shared" si="3"/>
        <v>4</v>
      </c>
      <c r="AH12" s="14">
        <f>AG12*65</f>
        <v>260</v>
      </c>
      <c r="AI12" s="16" t="s">
        <v>65</v>
      </c>
      <c r="AJ12" s="16">
        <v>1</v>
      </c>
      <c r="AK12" s="16" t="s">
        <v>65</v>
      </c>
      <c r="AL12" s="15">
        <f t="shared" si="4"/>
        <v>1</v>
      </c>
      <c r="AM12" s="14">
        <f>AL12*65</f>
        <v>65</v>
      </c>
      <c r="AT12" s="56" t="s">
        <v>4</v>
      </c>
      <c r="AU12" s="12">
        <f>AP61</f>
        <v>1055</v>
      </c>
    </row>
    <row r="13" spans="2:47" ht="15.6" x14ac:dyDescent="0.3">
      <c r="B13" s="17" t="s">
        <v>40</v>
      </c>
      <c r="C13" s="16" t="s">
        <v>65</v>
      </c>
      <c r="D13" s="16">
        <v>53</v>
      </c>
      <c r="E13" s="16">
        <v>21</v>
      </c>
      <c r="F13" s="16">
        <v>37</v>
      </c>
      <c r="G13" s="16" t="s">
        <v>65</v>
      </c>
      <c r="H13" s="16">
        <v>70</v>
      </c>
      <c r="I13" s="15">
        <f t="shared" si="0"/>
        <v>181</v>
      </c>
      <c r="J13" s="14">
        <f>I13*95</f>
        <v>17195</v>
      </c>
      <c r="K13" s="62"/>
      <c r="L13" s="62"/>
      <c r="M13" s="16">
        <v>54</v>
      </c>
      <c r="N13" s="16">
        <v>33</v>
      </c>
      <c r="O13" s="16">
        <v>30</v>
      </c>
      <c r="P13" s="16">
        <v>15</v>
      </c>
      <c r="Q13" s="15">
        <f t="shared" si="1"/>
        <v>132</v>
      </c>
      <c r="R13" s="14">
        <f>Q13*95</f>
        <v>12540</v>
      </c>
      <c r="S13" s="16">
        <v>15</v>
      </c>
      <c r="T13" s="16">
        <v>15</v>
      </c>
      <c r="U13" s="16">
        <v>46</v>
      </c>
      <c r="V13" s="16">
        <v>39</v>
      </c>
      <c r="W13" s="16">
        <v>10</v>
      </c>
      <c r="X13" s="16">
        <v>20</v>
      </c>
      <c r="Y13" s="15">
        <f t="shared" si="2"/>
        <v>145</v>
      </c>
      <c r="Z13" s="14">
        <f>Y13*95</f>
        <v>13775</v>
      </c>
      <c r="AA13" s="16">
        <v>12</v>
      </c>
      <c r="AB13" s="16">
        <v>56</v>
      </c>
      <c r="AC13" s="16">
        <v>1</v>
      </c>
      <c r="AD13" s="62"/>
      <c r="AE13" s="16">
        <v>95</v>
      </c>
      <c r="AF13" s="16">
        <v>20</v>
      </c>
      <c r="AG13" s="15">
        <f t="shared" si="3"/>
        <v>184</v>
      </c>
      <c r="AH13" s="14">
        <f>AG13*95</f>
        <v>17480</v>
      </c>
      <c r="AI13" s="16">
        <v>6</v>
      </c>
      <c r="AJ13" s="16">
        <v>55</v>
      </c>
      <c r="AK13" s="16">
        <v>5</v>
      </c>
      <c r="AL13" s="15">
        <f t="shared" si="4"/>
        <v>66</v>
      </c>
      <c r="AM13" s="14">
        <f>AL13*95</f>
        <v>6270</v>
      </c>
      <c r="AT13" s="55" t="s">
        <v>3</v>
      </c>
      <c r="AU13" s="6">
        <f>AP62</f>
        <v>105500</v>
      </c>
    </row>
    <row r="14" spans="2:47" x14ac:dyDescent="0.3">
      <c r="B14" s="17" t="s">
        <v>53</v>
      </c>
      <c r="C14" s="16" t="s">
        <v>65</v>
      </c>
      <c r="D14" s="16">
        <v>3</v>
      </c>
      <c r="E14" s="16">
        <v>31</v>
      </c>
      <c r="F14" s="16">
        <v>40</v>
      </c>
      <c r="G14" s="16" t="s">
        <v>65</v>
      </c>
      <c r="H14" s="16">
        <v>60</v>
      </c>
      <c r="I14" s="15">
        <f t="shared" si="0"/>
        <v>134</v>
      </c>
      <c r="J14" s="14">
        <f>I14*105</f>
        <v>14070</v>
      </c>
      <c r="K14" s="62"/>
      <c r="L14" s="62"/>
      <c r="M14" s="16">
        <v>4</v>
      </c>
      <c r="N14" s="16">
        <v>12</v>
      </c>
      <c r="O14" s="16">
        <v>20</v>
      </c>
      <c r="P14" s="16">
        <v>30</v>
      </c>
      <c r="Q14" s="15">
        <f t="shared" si="1"/>
        <v>66</v>
      </c>
      <c r="R14" s="14">
        <f>Q14*105</f>
        <v>6930</v>
      </c>
      <c r="S14" s="16">
        <v>45</v>
      </c>
      <c r="T14" s="16">
        <v>28</v>
      </c>
      <c r="U14" s="16">
        <v>26</v>
      </c>
      <c r="V14" s="16">
        <v>26</v>
      </c>
      <c r="W14" s="16">
        <v>10</v>
      </c>
      <c r="X14" s="16">
        <v>10</v>
      </c>
      <c r="Y14" s="15">
        <f t="shared" si="2"/>
        <v>145</v>
      </c>
      <c r="Z14" s="14">
        <f>Y14*105</f>
        <v>15225</v>
      </c>
      <c r="AA14" s="16">
        <v>15</v>
      </c>
      <c r="AB14" s="16">
        <v>31</v>
      </c>
      <c r="AC14" s="16" t="s">
        <v>65</v>
      </c>
      <c r="AD14" s="62"/>
      <c r="AE14" s="16">
        <v>30</v>
      </c>
      <c r="AF14" s="16">
        <v>40</v>
      </c>
      <c r="AG14" s="15">
        <f t="shared" si="3"/>
        <v>116</v>
      </c>
      <c r="AH14" s="14">
        <f>AG14*105</f>
        <v>12180</v>
      </c>
      <c r="AI14" s="16">
        <v>12</v>
      </c>
      <c r="AJ14" s="16">
        <v>6</v>
      </c>
      <c r="AK14" s="16">
        <v>23</v>
      </c>
      <c r="AL14" s="15">
        <f t="shared" si="4"/>
        <v>41</v>
      </c>
      <c r="AM14" s="14">
        <f>AL14*105</f>
        <v>4305</v>
      </c>
      <c r="AT14" s="10"/>
    </row>
    <row r="15" spans="2:47" ht="15.6" x14ac:dyDescent="0.3">
      <c r="B15" s="17" t="s">
        <v>52</v>
      </c>
      <c r="C15" s="16" t="s">
        <v>65</v>
      </c>
      <c r="D15" s="16"/>
      <c r="E15" s="16">
        <v>1</v>
      </c>
      <c r="F15" s="16">
        <v>14</v>
      </c>
      <c r="G15" s="16" t="s">
        <v>65</v>
      </c>
      <c r="H15" s="16">
        <v>15</v>
      </c>
      <c r="I15" s="15">
        <f t="shared" si="0"/>
        <v>30</v>
      </c>
      <c r="J15" s="14">
        <f>I15*110</f>
        <v>3300</v>
      </c>
      <c r="K15" s="62"/>
      <c r="L15" s="62"/>
      <c r="M15" s="16"/>
      <c r="N15" s="16">
        <v>5</v>
      </c>
      <c r="O15" s="16"/>
      <c r="P15" s="16"/>
      <c r="Q15" s="15">
        <f t="shared" si="1"/>
        <v>5</v>
      </c>
      <c r="R15" s="14">
        <f>Q15*110</f>
        <v>550</v>
      </c>
      <c r="S15" s="16">
        <v>13</v>
      </c>
      <c r="T15" s="16" t="s">
        <v>65</v>
      </c>
      <c r="U15" s="16">
        <v>9</v>
      </c>
      <c r="V15" s="16">
        <v>10</v>
      </c>
      <c r="W15" s="16"/>
      <c r="X15" s="16">
        <v>5</v>
      </c>
      <c r="Y15" s="15">
        <f t="shared" si="2"/>
        <v>37</v>
      </c>
      <c r="Z15" s="14">
        <f>Y15*110</f>
        <v>4070</v>
      </c>
      <c r="AA15" s="16" t="s">
        <v>65</v>
      </c>
      <c r="AB15" s="16">
        <v>13</v>
      </c>
      <c r="AC15" s="16" t="s">
        <v>65</v>
      </c>
      <c r="AD15" s="62"/>
      <c r="AE15" s="16">
        <v>5</v>
      </c>
      <c r="AF15" s="16" t="s">
        <v>65</v>
      </c>
      <c r="AG15" s="15">
        <f t="shared" si="3"/>
        <v>18</v>
      </c>
      <c r="AH15" s="14">
        <f>AG15*110</f>
        <v>1980</v>
      </c>
      <c r="AI15" s="16">
        <v>15</v>
      </c>
      <c r="AJ15" s="16">
        <v>40</v>
      </c>
      <c r="AK15" s="16">
        <v>2</v>
      </c>
      <c r="AL15" s="15">
        <f t="shared" si="4"/>
        <v>57</v>
      </c>
      <c r="AM15" s="14">
        <f>AL15*110</f>
        <v>6270</v>
      </c>
      <c r="AT15" s="54" t="s">
        <v>51</v>
      </c>
      <c r="AU15" s="66">
        <v>304190</v>
      </c>
    </row>
    <row r="16" spans="2:47" x14ac:dyDescent="0.3">
      <c r="B16" s="17" t="s">
        <v>50</v>
      </c>
      <c r="C16" s="16">
        <v>20</v>
      </c>
      <c r="D16" s="16"/>
      <c r="E16" s="16">
        <v>5</v>
      </c>
      <c r="F16" s="16"/>
      <c r="G16" s="16" t="s">
        <v>65</v>
      </c>
      <c r="H16" s="16">
        <v>3</v>
      </c>
      <c r="I16" s="15">
        <f t="shared" si="0"/>
        <v>28</v>
      </c>
      <c r="J16" s="14">
        <v>0</v>
      </c>
      <c r="K16" s="63"/>
      <c r="L16" s="62"/>
      <c r="M16" s="16"/>
      <c r="N16" s="16"/>
      <c r="O16" s="16"/>
      <c r="P16" s="16">
        <v>3</v>
      </c>
      <c r="Q16" s="15">
        <f t="shared" si="1"/>
        <v>3</v>
      </c>
      <c r="R16" s="14">
        <f>Q16*70</f>
        <v>210</v>
      </c>
      <c r="S16" s="16">
        <v>9</v>
      </c>
      <c r="T16" s="16">
        <v>30</v>
      </c>
      <c r="U16" s="16">
        <v>1</v>
      </c>
      <c r="V16" s="16">
        <v>3</v>
      </c>
      <c r="W16" s="16"/>
      <c r="X16" s="16" t="s">
        <v>65</v>
      </c>
      <c r="Y16" s="15">
        <f t="shared" si="2"/>
        <v>43</v>
      </c>
      <c r="Z16" s="14">
        <f>Y16*70</f>
        <v>3010</v>
      </c>
      <c r="AA16" s="16"/>
      <c r="AB16" s="16">
        <v>10</v>
      </c>
      <c r="AC16" s="16" t="s">
        <v>65</v>
      </c>
      <c r="AD16" s="62"/>
      <c r="AE16" s="16"/>
      <c r="AF16" s="16">
        <v>20</v>
      </c>
      <c r="AG16" s="15">
        <f t="shared" si="3"/>
        <v>30</v>
      </c>
      <c r="AH16" s="14">
        <f>AG16*70</f>
        <v>2100</v>
      </c>
      <c r="AI16" s="16" t="s">
        <v>65</v>
      </c>
      <c r="AJ16" s="16"/>
      <c r="AK16" s="16">
        <v>1</v>
      </c>
      <c r="AL16" s="15">
        <f t="shared" si="4"/>
        <v>1</v>
      </c>
      <c r="AM16" s="14">
        <f>AL16*70</f>
        <v>70</v>
      </c>
    </row>
    <row r="17" spans="2:44" x14ac:dyDescent="0.3">
      <c r="B17" s="17" t="s">
        <v>28</v>
      </c>
      <c r="C17" s="16"/>
      <c r="D17" s="16"/>
      <c r="E17" s="16" t="s">
        <v>65</v>
      </c>
      <c r="F17" s="16"/>
      <c r="G17" s="16" t="s">
        <v>65</v>
      </c>
      <c r="H17" s="16" t="s">
        <v>65</v>
      </c>
      <c r="I17" s="15">
        <f t="shared" si="0"/>
        <v>0</v>
      </c>
      <c r="J17" s="14">
        <f>I17*0</f>
        <v>0</v>
      </c>
      <c r="K17" s="62"/>
      <c r="L17" s="62"/>
      <c r="M17" s="16"/>
      <c r="N17" s="16"/>
      <c r="O17" s="16"/>
      <c r="P17" s="16"/>
      <c r="Q17" s="15">
        <f t="shared" si="1"/>
        <v>0</v>
      </c>
      <c r="R17" s="14">
        <f>Q17*0</f>
        <v>0</v>
      </c>
      <c r="S17" s="16" t="s">
        <v>65</v>
      </c>
      <c r="T17" s="16"/>
      <c r="U17" s="16"/>
      <c r="V17" s="16"/>
      <c r="W17" s="16"/>
      <c r="X17" s="16" t="s">
        <v>65</v>
      </c>
      <c r="Y17" s="15">
        <f t="shared" si="2"/>
        <v>0</v>
      </c>
      <c r="Z17" s="14">
        <f>Y17*0</f>
        <v>0</v>
      </c>
      <c r="AA17" s="16"/>
      <c r="AB17" s="16"/>
      <c r="AC17" s="16" t="s">
        <v>65</v>
      </c>
      <c r="AD17" s="62"/>
      <c r="AE17" s="16"/>
      <c r="AF17" s="16" t="s">
        <v>65</v>
      </c>
      <c r="AG17" s="15">
        <f t="shared" si="3"/>
        <v>0</v>
      </c>
      <c r="AH17" s="14">
        <f>AG17*0</f>
        <v>0</v>
      </c>
      <c r="AI17" s="16"/>
      <c r="AJ17" s="16"/>
      <c r="AK17" s="16"/>
      <c r="AL17" s="15">
        <f t="shared" si="4"/>
        <v>0</v>
      </c>
      <c r="AM17" s="14">
        <f>AL17*0</f>
        <v>0</v>
      </c>
    </row>
    <row r="18" spans="2:44" x14ac:dyDescent="0.3">
      <c r="B18" s="17" t="s">
        <v>49</v>
      </c>
      <c r="C18" s="16"/>
      <c r="D18" s="16"/>
      <c r="E18" s="16" t="s">
        <v>65</v>
      </c>
      <c r="F18" s="16"/>
      <c r="G18" s="16"/>
      <c r="H18" s="16" t="s">
        <v>65</v>
      </c>
      <c r="I18" s="15">
        <f t="shared" si="0"/>
        <v>0</v>
      </c>
      <c r="J18" s="14">
        <f>I18*0</f>
        <v>0</v>
      </c>
      <c r="K18" s="62"/>
      <c r="L18" s="62"/>
      <c r="M18" s="16"/>
      <c r="N18" s="16" t="s">
        <v>65</v>
      </c>
      <c r="O18" s="16"/>
      <c r="P18" s="16" t="s">
        <v>65</v>
      </c>
      <c r="Q18" s="15">
        <f t="shared" si="1"/>
        <v>0</v>
      </c>
      <c r="R18" s="14">
        <f>Q18*0</f>
        <v>0</v>
      </c>
      <c r="S18" s="16" t="s">
        <v>65</v>
      </c>
      <c r="T18" s="16" t="s">
        <v>65</v>
      </c>
      <c r="U18" s="16"/>
      <c r="V18" s="16"/>
      <c r="W18" s="16"/>
      <c r="X18" s="16" t="s">
        <v>65</v>
      </c>
      <c r="Y18" s="15">
        <f t="shared" si="2"/>
        <v>0</v>
      </c>
      <c r="Z18" s="14">
        <f>Y18*0</f>
        <v>0</v>
      </c>
      <c r="AA18" s="16"/>
      <c r="AB18" s="16"/>
      <c r="AC18" s="16" t="s">
        <v>65</v>
      </c>
      <c r="AD18" s="62" t="s">
        <v>65</v>
      </c>
      <c r="AE18" s="16" t="s">
        <v>65</v>
      </c>
      <c r="AF18" s="16" t="s">
        <v>65</v>
      </c>
      <c r="AG18" s="15">
        <f t="shared" si="3"/>
        <v>0</v>
      </c>
      <c r="AH18" s="14">
        <f>AG18*0</f>
        <v>0</v>
      </c>
      <c r="AI18" s="16" t="s">
        <v>65</v>
      </c>
      <c r="AJ18" s="16" t="s">
        <v>65</v>
      </c>
      <c r="AK18" s="16" t="s">
        <v>65</v>
      </c>
      <c r="AL18" s="15">
        <f t="shared" si="4"/>
        <v>0</v>
      </c>
      <c r="AM18" s="14">
        <f>AL18*0</f>
        <v>0</v>
      </c>
    </row>
    <row r="19" spans="2:44" ht="15.6" x14ac:dyDescent="0.3">
      <c r="B19" s="52"/>
      <c r="C19" s="50"/>
      <c r="D19" s="50"/>
      <c r="E19" s="50"/>
      <c r="F19" s="50"/>
      <c r="G19" s="50"/>
      <c r="H19" s="50"/>
      <c r="I19" s="39">
        <f>SUM(I4:I16)</f>
        <v>918</v>
      </c>
      <c r="J19" s="49">
        <f>SUM(J4:J16)</f>
        <v>67505</v>
      </c>
      <c r="K19" s="50"/>
      <c r="L19" s="50"/>
      <c r="M19" s="50"/>
      <c r="N19" s="50"/>
      <c r="O19" s="50"/>
      <c r="P19" s="50"/>
      <c r="Q19" s="39">
        <f>SUM(Q4:Q16)</f>
        <v>678</v>
      </c>
      <c r="R19" s="49">
        <f>SUM(R4:R16)</f>
        <v>48764</v>
      </c>
      <c r="S19" s="50"/>
      <c r="T19" s="50"/>
      <c r="U19" s="50"/>
      <c r="V19" s="50"/>
      <c r="W19" s="50"/>
      <c r="X19" s="50"/>
      <c r="Y19" s="39">
        <f>SUM(Y4:Y16)</f>
        <v>1061</v>
      </c>
      <c r="Z19" s="49">
        <f>SUM(Z4:Z16)</f>
        <v>77756</v>
      </c>
      <c r="AA19" s="50"/>
      <c r="AB19" s="50"/>
      <c r="AC19" s="50"/>
      <c r="AD19" s="50"/>
      <c r="AE19" s="50"/>
      <c r="AF19" s="50"/>
      <c r="AG19" s="39">
        <f>SUM(AG4:AG16)</f>
        <v>795</v>
      </c>
      <c r="AH19" s="49">
        <f>SUM(AH4:AH16)</f>
        <v>60628</v>
      </c>
      <c r="AI19" s="50"/>
      <c r="AJ19" s="50"/>
      <c r="AK19" s="50"/>
      <c r="AL19" s="39">
        <f>SUM(AL4:AL16)</f>
        <v>417</v>
      </c>
      <c r="AM19" s="49">
        <f>SUM(AM4:AM16)</f>
        <v>32068</v>
      </c>
      <c r="AO19" s="47" t="s">
        <v>48</v>
      </c>
      <c r="AP19" s="48">
        <f>I50+Q50+Y50+AG50</f>
        <v>5675</v>
      </c>
      <c r="AQ19" s="30">
        <f>AP20/AP19</f>
        <v>74.527400881057275</v>
      </c>
    </row>
    <row r="20" spans="2:44" ht="15.6" customHeight="1" x14ac:dyDescent="0.3">
      <c r="B20" s="42" t="s">
        <v>47</v>
      </c>
      <c r="C20" s="16"/>
      <c r="D20" s="16"/>
      <c r="E20" s="16">
        <v>10</v>
      </c>
      <c r="F20" s="16">
        <v>5</v>
      </c>
      <c r="G20" s="16"/>
      <c r="H20" s="16" t="s">
        <v>65</v>
      </c>
      <c r="I20" s="15">
        <f>SUM(C20:H20)</f>
        <v>15</v>
      </c>
      <c r="J20" s="14">
        <f>I20*85</f>
        <v>1275</v>
      </c>
      <c r="K20" s="62"/>
      <c r="L20" s="62"/>
      <c r="M20" s="16">
        <v>10</v>
      </c>
      <c r="N20" s="16">
        <v>10</v>
      </c>
      <c r="O20" s="16" t="s">
        <v>65</v>
      </c>
      <c r="P20" s="16">
        <v>29</v>
      </c>
      <c r="Q20" s="15">
        <f>SUM(K20:P20)</f>
        <v>49</v>
      </c>
      <c r="R20" s="14">
        <f>Q20*85</f>
        <v>4165</v>
      </c>
      <c r="S20" s="16">
        <v>22</v>
      </c>
      <c r="T20" s="16">
        <v>30</v>
      </c>
      <c r="U20" s="16" t="s">
        <v>65</v>
      </c>
      <c r="V20" s="16">
        <v>55</v>
      </c>
      <c r="W20" s="16">
        <v>50</v>
      </c>
      <c r="X20" s="16"/>
      <c r="Y20" s="15">
        <f>SUM(S20:X20)</f>
        <v>157</v>
      </c>
      <c r="Z20" s="14">
        <f>Y20*98</f>
        <v>15386</v>
      </c>
      <c r="AA20" s="16"/>
      <c r="AB20" s="16"/>
      <c r="AC20" s="16">
        <v>1</v>
      </c>
      <c r="AD20" s="62"/>
      <c r="AE20" s="16">
        <v>16</v>
      </c>
      <c r="AF20" s="16" t="s">
        <v>65</v>
      </c>
      <c r="AG20" s="15">
        <f t="shared" ref="AG20:AG47" si="5">SUM(AA20:AF20)</f>
        <v>17</v>
      </c>
      <c r="AH20" s="14">
        <f>AG20*98</f>
        <v>1666</v>
      </c>
      <c r="AI20" s="16" t="s">
        <v>65</v>
      </c>
      <c r="AJ20" s="16"/>
      <c r="AK20" s="16">
        <v>3</v>
      </c>
      <c r="AL20" s="15">
        <f>SUM(AI20:AK20)</f>
        <v>3</v>
      </c>
      <c r="AM20" s="14">
        <f>AL20*98</f>
        <v>294</v>
      </c>
      <c r="AO20" s="47" t="s">
        <v>3</v>
      </c>
      <c r="AP20" s="46">
        <f>J50+R50+Z50+AH50</f>
        <v>422943</v>
      </c>
    </row>
    <row r="21" spans="2:44" x14ac:dyDescent="0.3">
      <c r="B21" s="42" t="s">
        <v>46</v>
      </c>
      <c r="C21" s="16"/>
      <c r="D21" s="16"/>
      <c r="E21" s="16">
        <v>10</v>
      </c>
      <c r="F21" s="16">
        <v>5</v>
      </c>
      <c r="G21" s="16"/>
      <c r="H21" s="16" t="s">
        <v>65</v>
      </c>
      <c r="I21" s="15">
        <f t="shared" ref="I21:I39" si="6">SUM(C21:H21)</f>
        <v>15</v>
      </c>
      <c r="J21" s="14">
        <f>I21*84</f>
        <v>1260</v>
      </c>
      <c r="K21" s="62"/>
      <c r="L21" s="62"/>
      <c r="M21" s="16">
        <v>10</v>
      </c>
      <c r="N21" s="16">
        <v>10</v>
      </c>
      <c r="O21" s="16" t="s">
        <v>65</v>
      </c>
      <c r="P21" s="16">
        <v>32</v>
      </c>
      <c r="Q21" s="15">
        <f t="shared" ref="Q21:Q43" si="7">SUM(K21:P21)</f>
        <v>52</v>
      </c>
      <c r="R21" s="14">
        <f>Q21*84</f>
        <v>4368</v>
      </c>
      <c r="S21" s="16">
        <v>21</v>
      </c>
      <c r="T21" s="16">
        <v>45</v>
      </c>
      <c r="U21" s="16" t="s">
        <v>65</v>
      </c>
      <c r="V21" s="16">
        <v>50</v>
      </c>
      <c r="W21" s="16">
        <v>50</v>
      </c>
      <c r="X21" s="16"/>
      <c r="Y21" s="15">
        <f t="shared" ref="Y21:Y47" si="8">SUM(S21:X21)</f>
        <v>166</v>
      </c>
      <c r="Z21" s="14">
        <f>Y21*96</f>
        <v>15936</v>
      </c>
      <c r="AA21" s="16"/>
      <c r="AB21" s="16">
        <v>3</v>
      </c>
      <c r="AC21" s="16"/>
      <c r="AD21" s="62"/>
      <c r="AE21" s="16">
        <v>15</v>
      </c>
      <c r="AF21" s="16" t="s">
        <v>65</v>
      </c>
      <c r="AG21" s="15">
        <f t="shared" si="5"/>
        <v>18</v>
      </c>
      <c r="AH21" s="14">
        <f>AG21*96</f>
        <v>1728</v>
      </c>
      <c r="AI21" s="16">
        <v>1</v>
      </c>
      <c r="AJ21" s="16"/>
      <c r="AK21" s="16">
        <v>2</v>
      </c>
      <c r="AL21" s="15">
        <f t="shared" ref="AL21:AL47" si="9">SUM(AI21:AK21)</f>
        <v>3</v>
      </c>
      <c r="AM21" s="14">
        <f>AL21*96</f>
        <v>288</v>
      </c>
    </row>
    <row r="22" spans="2:44" x14ac:dyDescent="0.3">
      <c r="B22" s="42" t="s">
        <v>45</v>
      </c>
      <c r="C22" s="16"/>
      <c r="D22" s="16"/>
      <c r="E22" s="16">
        <v>10</v>
      </c>
      <c r="F22" s="16" t="s">
        <v>65</v>
      </c>
      <c r="G22" s="16"/>
      <c r="H22" s="16" t="s">
        <v>65</v>
      </c>
      <c r="I22" s="15">
        <f t="shared" si="6"/>
        <v>10</v>
      </c>
      <c r="J22" s="14">
        <f>I22*85</f>
        <v>850</v>
      </c>
      <c r="K22" s="62"/>
      <c r="L22" s="62"/>
      <c r="M22" s="16"/>
      <c r="N22" s="16">
        <v>5</v>
      </c>
      <c r="O22" s="16" t="s">
        <v>65</v>
      </c>
      <c r="P22" s="16">
        <v>15</v>
      </c>
      <c r="Q22" s="15">
        <f t="shared" si="7"/>
        <v>20</v>
      </c>
      <c r="R22" s="14">
        <f>Q22*85</f>
        <v>1700</v>
      </c>
      <c r="S22" s="16">
        <v>16</v>
      </c>
      <c r="T22" s="16">
        <v>6</v>
      </c>
      <c r="U22" s="16">
        <v>5</v>
      </c>
      <c r="V22" s="16">
        <v>20</v>
      </c>
      <c r="W22" s="16">
        <v>10</v>
      </c>
      <c r="X22" s="16"/>
      <c r="Y22" s="15">
        <f t="shared" si="8"/>
        <v>57</v>
      </c>
      <c r="Z22" s="14">
        <f>Y22*98</f>
        <v>5586</v>
      </c>
      <c r="AA22" s="16"/>
      <c r="AB22" s="16"/>
      <c r="AC22" s="16"/>
      <c r="AD22" s="62"/>
      <c r="AE22" s="16">
        <v>15</v>
      </c>
      <c r="AF22" s="16">
        <v>10</v>
      </c>
      <c r="AG22" s="15">
        <f t="shared" si="5"/>
        <v>25</v>
      </c>
      <c r="AH22" s="14">
        <f>AG22*98</f>
        <v>2450</v>
      </c>
      <c r="AI22" s="16" t="s">
        <v>65</v>
      </c>
      <c r="AJ22" s="16"/>
      <c r="AK22" s="16"/>
      <c r="AL22" s="15">
        <f t="shared" si="9"/>
        <v>0</v>
      </c>
      <c r="AM22" s="14">
        <f>AL22*98</f>
        <v>0</v>
      </c>
      <c r="AR22">
        <f>JUNIO!AL19-DICIEMBRE!AP19</f>
        <v>1062</v>
      </c>
    </row>
    <row r="23" spans="2:44" x14ac:dyDescent="0.3">
      <c r="B23" s="42" t="s">
        <v>44</v>
      </c>
      <c r="C23" s="16"/>
      <c r="D23" s="16"/>
      <c r="E23" s="16"/>
      <c r="F23" s="16">
        <v>5</v>
      </c>
      <c r="G23" s="16"/>
      <c r="H23" s="16" t="s">
        <v>65</v>
      </c>
      <c r="I23" s="15">
        <f t="shared" si="6"/>
        <v>5</v>
      </c>
      <c r="J23" s="14">
        <f>I23*85</f>
        <v>425</v>
      </c>
      <c r="K23" s="62"/>
      <c r="L23" s="62"/>
      <c r="M23" s="16"/>
      <c r="N23" s="16">
        <v>5</v>
      </c>
      <c r="O23" s="16">
        <v>5</v>
      </c>
      <c r="P23" s="16">
        <v>10</v>
      </c>
      <c r="Q23" s="15">
        <f t="shared" si="7"/>
        <v>20</v>
      </c>
      <c r="R23" s="14">
        <f>Q23*85</f>
        <v>1700</v>
      </c>
      <c r="S23" s="16">
        <v>17</v>
      </c>
      <c r="T23" s="16">
        <v>6</v>
      </c>
      <c r="U23" s="16">
        <v>5</v>
      </c>
      <c r="V23" s="16">
        <v>5</v>
      </c>
      <c r="W23" s="16">
        <v>15</v>
      </c>
      <c r="X23" s="16"/>
      <c r="Y23" s="15">
        <f t="shared" si="8"/>
        <v>48</v>
      </c>
      <c r="Z23" s="14">
        <f>Y23*82</f>
        <v>3936</v>
      </c>
      <c r="AA23" s="16"/>
      <c r="AB23" s="16"/>
      <c r="AC23" s="16"/>
      <c r="AD23" s="62"/>
      <c r="AE23" s="16"/>
      <c r="AF23" s="16">
        <v>6</v>
      </c>
      <c r="AG23" s="15">
        <f t="shared" si="5"/>
        <v>6</v>
      </c>
      <c r="AH23" s="14">
        <f>AG23*82</f>
        <v>492</v>
      </c>
      <c r="AI23" s="16">
        <v>15</v>
      </c>
      <c r="AJ23" s="16"/>
      <c r="AK23" s="16">
        <v>4</v>
      </c>
      <c r="AL23" s="15">
        <f t="shared" si="9"/>
        <v>19</v>
      </c>
      <c r="AM23" s="14">
        <f>AL23*82</f>
        <v>1558</v>
      </c>
    </row>
    <row r="24" spans="2:44" ht="15.6" x14ac:dyDescent="0.3">
      <c r="B24" s="42" t="s">
        <v>43</v>
      </c>
      <c r="C24" s="16"/>
      <c r="D24" s="16"/>
      <c r="E24" s="16"/>
      <c r="F24" s="16"/>
      <c r="G24" s="16"/>
      <c r="H24" s="16"/>
      <c r="I24" s="15">
        <f t="shared" si="6"/>
        <v>0</v>
      </c>
      <c r="J24" s="14">
        <f>I24*85</f>
        <v>0</v>
      </c>
      <c r="K24" s="62"/>
      <c r="L24" s="62"/>
      <c r="M24" s="16"/>
      <c r="N24" s="16"/>
      <c r="O24" s="16"/>
      <c r="P24" s="16" t="s">
        <v>65</v>
      </c>
      <c r="Q24" s="15">
        <f t="shared" si="7"/>
        <v>0</v>
      </c>
      <c r="R24" s="14">
        <f>Q24*85</f>
        <v>0</v>
      </c>
      <c r="S24" s="16">
        <v>120</v>
      </c>
      <c r="T24" s="16"/>
      <c r="U24" s="16"/>
      <c r="V24" s="16" t="s">
        <v>65</v>
      </c>
      <c r="W24" s="16">
        <v>15</v>
      </c>
      <c r="X24" s="16"/>
      <c r="Y24" s="15">
        <f t="shared" si="8"/>
        <v>135</v>
      </c>
      <c r="Z24" s="14">
        <f>Y24*100</f>
        <v>13500</v>
      </c>
      <c r="AA24" s="16"/>
      <c r="AB24" s="16"/>
      <c r="AC24" s="16"/>
      <c r="AD24" s="62"/>
      <c r="AE24" s="16"/>
      <c r="AF24" s="16" t="s">
        <v>65</v>
      </c>
      <c r="AG24" s="15">
        <f t="shared" si="5"/>
        <v>0</v>
      </c>
      <c r="AH24" s="14">
        <f>AG24*100</f>
        <v>0</v>
      </c>
      <c r="AI24" s="16"/>
      <c r="AJ24" s="16"/>
      <c r="AK24" s="16"/>
      <c r="AL24" s="15">
        <f t="shared" si="9"/>
        <v>0</v>
      </c>
      <c r="AM24" s="14">
        <f>AL24*100</f>
        <v>0</v>
      </c>
      <c r="AO24" s="70" t="s">
        <v>42</v>
      </c>
      <c r="AP24" s="70"/>
    </row>
    <row r="25" spans="2:44" ht="15.6" x14ac:dyDescent="0.3">
      <c r="B25" s="42" t="s">
        <v>41</v>
      </c>
      <c r="C25" s="16"/>
      <c r="D25" s="16"/>
      <c r="E25" s="16"/>
      <c r="F25" s="16"/>
      <c r="G25" s="16"/>
      <c r="H25" s="16"/>
      <c r="I25" s="15">
        <f t="shared" si="6"/>
        <v>0</v>
      </c>
      <c r="J25" s="14">
        <f>I25*84</f>
        <v>0</v>
      </c>
      <c r="K25" s="62"/>
      <c r="L25" s="62"/>
      <c r="M25" s="16"/>
      <c r="N25" s="16"/>
      <c r="O25" s="16"/>
      <c r="P25" s="16" t="s">
        <v>65</v>
      </c>
      <c r="Q25" s="15">
        <f t="shared" si="7"/>
        <v>0</v>
      </c>
      <c r="R25" s="14">
        <f>Q25*84</f>
        <v>0</v>
      </c>
      <c r="S25" s="16">
        <v>116</v>
      </c>
      <c r="T25" s="16"/>
      <c r="U25" s="16"/>
      <c r="V25" s="16">
        <v>40</v>
      </c>
      <c r="W25" s="16"/>
      <c r="X25" s="16"/>
      <c r="Y25" s="15">
        <f t="shared" si="8"/>
        <v>156</v>
      </c>
      <c r="Z25" s="14">
        <f>Y25*115</f>
        <v>17940</v>
      </c>
      <c r="AA25" s="16"/>
      <c r="AB25" s="16"/>
      <c r="AC25" s="16"/>
      <c r="AD25" s="62"/>
      <c r="AE25" s="16"/>
      <c r="AF25" s="16" t="s">
        <v>65</v>
      </c>
      <c r="AG25" s="15">
        <f t="shared" si="5"/>
        <v>0</v>
      </c>
      <c r="AH25" s="14">
        <f>AG25*115</f>
        <v>0</v>
      </c>
      <c r="AI25" s="16"/>
      <c r="AJ25" s="16"/>
      <c r="AK25" s="16"/>
      <c r="AL25" s="15">
        <f t="shared" si="9"/>
        <v>0</v>
      </c>
      <c r="AM25" s="14">
        <f>AL25*115</f>
        <v>0</v>
      </c>
      <c r="AO25" s="45" t="s">
        <v>40</v>
      </c>
      <c r="AP25" s="44">
        <f>I13+Q13+Y13+AG13</f>
        <v>642</v>
      </c>
    </row>
    <row r="26" spans="2:44" ht="15.6" x14ac:dyDescent="0.3">
      <c r="B26" s="42" t="s">
        <v>39</v>
      </c>
      <c r="C26" s="16"/>
      <c r="D26" s="16"/>
      <c r="E26" s="16"/>
      <c r="F26" s="16"/>
      <c r="G26" s="16"/>
      <c r="H26" s="16"/>
      <c r="I26" s="15">
        <f t="shared" si="6"/>
        <v>0</v>
      </c>
      <c r="J26" s="14">
        <f>I26*85</f>
        <v>0</v>
      </c>
      <c r="K26" s="62"/>
      <c r="L26" s="62"/>
      <c r="M26" s="16"/>
      <c r="N26" s="16"/>
      <c r="O26" s="16"/>
      <c r="P26" s="16" t="s">
        <v>65</v>
      </c>
      <c r="Q26" s="15">
        <f t="shared" si="7"/>
        <v>0</v>
      </c>
      <c r="R26" s="14">
        <f>Q26*85</f>
        <v>0</v>
      </c>
      <c r="S26" s="16" t="s">
        <v>65</v>
      </c>
      <c r="T26" s="16"/>
      <c r="U26" s="16"/>
      <c r="V26" s="16">
        <v>20</v>
      </c>
      <c r="W26" s="16"/>
      <c r="X26" s="16"/>
      <c r="Y26" s="15">
        <f t="shared" si="8"/>
        <v>20</v>
      </c>
      <c r="Z26" s="14">
        <f>Y26*85</f>
        <v>1700</v>
      </c>
      <c r="AA26" s="16"/>
      <c r="AB26" s="16"/>
      <c r="AC26" s="16"/>
      <c r="AD26" s="62"/>
      <c r="AE26" s="16"/>
      <c r="AF26" s="16" t="s">
        <v>65</v>
      </c>
      <c r="AG26" s="15">
        <f t="shared" si="5"/>
        <v>0</v>
      </c>
      <c r="AH26" s="14">
        <f>AG26*85</f>
        <v>0</v>
      </c>
      <c r="AI26" s="16"/>
      <c r="AJ26" s="16"/>
      <c r="AK26" s="16"/>
      <c r="AL26" s="15">
        <f t="shared" si="9"/>
        <v>0</v>
      </c>
      <c r="AM26" s="14">
        <f>AL26*85</f>
        <v>0</v>
      </c>
      <c r="AO26" s="45" t="s">
        <v>38</v>
      </c>
      <c r="AP26" s="44">
        <f>I14+Q14+Y14+AG14</f>
        <v>461</v>
      </c>
    </row>
    <row r="27" spans="2:44" ht="15.6" x14ac:dyDescent="0.3">
      <c r="B27" s="42" t="s">
        <v>37</v>
      </c>
      <c r="C27" s="16"/>
      <c r="D27" s="16"/>
      <c r="E27" s="16"/>
      <c r="F27" s="16"/>
      <c r="G27" s="16"/>
      <c r="H27" s="16"/>
      <c r="I27" s="15">
        <f t="shared" si="6"/>
        <v>0</v>
      </c>
      <c r="J27" s="14">
        <f>I27*85</f>
        <v>0</v>
      </c>
      <c r="K27" s="62"/>
      <c r="L27" s="62"/>
      <c r="M27" s="16"/>
      <c r="N27" s="16"/>
      <c r="O27" s="16"/>
      <c r="P27" s="16"/>
      <c r="Q27" s="15">
        <f t="shared" si="7"/>
        <v>0</v>
      </c>
      <c r="R27" s="14">
        <f>Q27*85</f>
        <v>0</v>
      </c>
      <c r="S27" s="16" t="s">
        <v>65</v>
      </c>
      <c r="T27" s="16"/>
      <c r="U27" s="16"/>
      <c r="V27" s="16" t="s">
        <v>65</v>
      </c>
      <c r="W27" s="16"/>
      <c r="X27" s="16"/>
      <c r="Y27" s="15">
        <f t="shared" si="8"/>
        <v>0</v>
      </c>
      <c r="Z27" s="14">
        <f>Y27*85</f>
        <v>0</v>
      </c>
      <c r="AA27" s="16"/>
      <c r="AB27" s="16"/>
      <c r="AC27" s="16"/>
      <c r="AD27" s="62"/>
      <c r="AE27" s="16"/>
      <c r="AF27" s="16" t="s">
        <v>65</v>
      </c>
      <c r="AG27" s="15">
        <f t="shared" si="5"/>
        <v>0</v>
      </c>
      <c r="AH27" s="14">
        <f>AG27*85</f>
        <v>0</v>
      </c>
      <c r="AI27" s="16"/>
      <c r="AJ27" s="16"/>
      <c r="AK27" s="16"/>
      <c r="AL27" s="15">
        <f t="shared" si="9"/>
        <v>0</v>
      </c>
      <c r="AM27" s="14">
        <f>AL27*85</f>
        <v>0</v>
      </c>
      <c r="AO27" s="45" t="s">
        <v>36</v>
      </c>
      <c r="AP27" s="44">
        <f>I15+Q15+Y15+AG15</f>
        <v>90</v>
      </c>
    </row>
    <row r="28" spans="2:44" x14ac:dyDescent="0.3">
      <c r="B28" s="42" t="s">
        <v>35</v>
      </c>
      <c r="C28" s="16"/>
      <c r="D28" s="16">
        <v>1</v>
      </c>
      <c r="E28" s="16">
        <v>15</v>
      </c>
      <c r="F28" s="16"/>
      <c r="G28" s="16"/>
      <c r="H28" s="16"/>
      <c r="I28" s="15">
        <f t="shared" si="6"/>
        <v>16</v>
      </c>
      <c r="J28" s="14">
        <f>I28*75</f>
        <v>1200</v>
      </c>
      <c r="K28" s="62"/>
      <c r="L28" s="62"/>
      <c r="M28" s="16"/>
      <c r="N28" s="16">
        <v>15</v>
      </c>
      <c r="O28" s="16"/>
      <c r="P28" s="16">
        <v>8</v>
      </c>
      <c r="Q28" s="15">
        <f t="shared" si="7"/>
        <v>23</v>
      </c>
      <c r="R28" s="14">
        <f>Q28*75</f>
        <v>1725</v>
      </c>
      <c r="S28" s="16" t="s">
        <v>65</v>
      </c>
      <c r="T28" s="16"/>
      <c r="U28" s="16"/>
      <c r="V28" s="16">
        <v>10</v>
      </c>
      <c r="W28" s="16"/>
      <c r="X28" s="16"/>
      <c r="Y28" s="15">
        <f t="shared" si="8"/>
        <v>10</v>
      </c>
      <c r="Z28" s="14">
        <f>Y28*75</f>
        <v>750</v>
      </c>
      <c r="AA28" s="16">
        <v>25</v>
      </c>
      <c r="AB28" s="16"/>
      <c r="AC28" s="16"/>
      <c r="AD28" s="62"/>
      <c r="AE28" s="16"/>
      <c r="AF28" s="16">
        <v>25</v>
      </c>
      <c r="AG28" s="15">
        <f t="shared" si="5"/>
        <v>50</v>
      </c>
      <c r="AH28" s="14">
        <f>AG28*75</f>
        <v>3750</v>
      </c>
      <c r="AI28" s="16"/>
      <c r="AJ28" s="16"/>
      <c r="AK28" s="16"/>
      <c r="AL28" s="15">
        <f t="shared" si="9"/>
        <v>0</v>
      </c>
      <c r="AM28" s="14">
        <f>AL28*75</f>
        <v>0</v>
      </c>
      <c r="AN28" t="s">
        <v>67</v>
      </c>
      <c r="AP28" s="43">
        <f>SUM(AP25:AP27)</f>
        <v>1193</v>
      </c>
    </row>
    <row r="29" spans="2:44" x14ac:dyDescent="0.3">
      <c r="B29" s="42" t="s">
        <v>34</v>
      </c>
      <c r="C29" s="16"/>
      <c r="D29" s="16"/>
      <c r="E29" s="16">
        <v>5</v>
      </c>
      <c r="F29" s="16"/>
      <c r="G29" s="16"/>
      <c r="H29" s="16"/>
      <c r="I29" s="15">
        <f t="shared" si="6"/>
        <v>5</v>
      </c>
      <c r="J29" s="14">
        <f>I29*75</f>
        <v>375</v>
      </c>
      <c r="K29" s="62"/>
      <c r="L29" s="62"/>
      <c r="M29" s="16"/>
      <c r="N29" s="16">
        <v>5</v>
      </c>
      <c r="O29" s="16"/>
      <c r="P29" s="16">
        <v>5</v>
      </c>
      <c r="Q29" s="15">
        <f t="shared" si="7"/>
        <v>10</v>
      </c>
      <c r="R29" s="14">
        <f>Q29*75</f>
        <v>750</v>
      </c>
      <c r="S29" s="16" t="s">
        <v>65</v>
      </c>
      <c r="T29" s="16"/>
      <c r="U29" s="16"/>
      <c r="V29" s="16">
        <v>10</v>
      </c>
      <c r="W29" s="16"/>
      <c r="X29" s="16"/>
      <c r="Y29" s="15">
        <f t="shared" si="8"/>
        <v>10</v>
      </c>
      <c r="Z29" s="14">
        <f>Y29*75</f>
        <v>750</v>
      </c>
      <c r="AA29" s="16"/>
      <c r="AB29" s="16"/>
      <c r="AC29" s="16"/>
      <c r="AD29" s="62"/>
      <c r="AE29" s="16"/>
      <c r="AF29" s="16">
        <v>25</v>
      </c>
      <c r="AG29" s="15">
        <f t="shared" si="5"/>
        <v>25</v>
      </c>
      <c r="AH29" s="14">
        <f>AG29*75</f>
        <v>1875</v>
      </c>
      <c r="AI29" s="16"/>
      <c r="AJ29" s="16"/>
      <c r="AK29" s="16"/>
      <c r="AL29" s="15">
        <f t="shared" si="9"/>
        <v>0</v>
      </c>
      <c r="AM29" s="14">
        <f>AL29*75</f>
        <v>0</v>
      </c>
    </row>
    <row r="30" spans="2:44" x14ac:dyDescent="0.3">
      <c r="B30" s="42" t="s">
        <v>33</v>
      </c>
      <c r="C30" s="16"/>
      <c r="D30" s="16">
        <v>1</v>
      </c>
      <c r="E30" s="16">
        <v>10</v>
      </c>
      <c r="F30" s="16"/>
      <c r="G30" s="16"/>
      <c r="H30" s="16">
        <v>5</v>
      </c>
      <c r="I30" s="15">
        <f t="shared" si="6"/>
        <v>16</v>
      </c>
      <c r="J30" s="14">
        <f>I30*78</f>
        <v>1248</v>
      </c>
      <c r="K30" s="62"/>
      <c r="L30" s="62"/>
      <c r="M30" s="16"/>
      <c r="N30" s="16"/>
      <c r="O30" s="16"/>
      <c r="P30" s="16">
        <v>30</v>
      </c>
      <c r="Q30" s="15">
        <f t="shared" si="7"/>
        <v>30</v>
      </c>
      <c r="R30" s="14">
        <f>Q30*78</f>
        <v>2340</v>
      </c>
      <c r="S30" s="16">
        <v>137</v>
      </c>
      <c r="T30" s="16">
        <v>10</v>
      </c>
      <c r="U30" s="16">
        <v>5</v>
      </c>
      <c r="V30" s="16">
        <v>35</v>
      </c>
      <c r="W30" s="16">
        <v>25</v>
      </c>
      <c r="X30" s="16"/>
      <c r="Y30" s="15">
        <f t="shared" si="8"/>
        <v>212</v>
      </c>
      <c r="Z30" s="14">
        <f>Y30*78</f>
        <v>16536</v>
      </c>
      <c r="AA30" s="16">
        <v>22</v>
      </c>
      <c r="AB30" s="16">
        <v>20</v>
      </c>
      <c r="AC30" s="16">
        <v>1</v>
      </c>
      <c r="AD30" s="62"/>
      <c r="AE30" s="16">
        <v>15</v>
      </c>
      <c r="AF30" s="16">
        <v>10</v>
      </c>
      <c r="AG30" s="15">
        <f t="shared" si="5"/>
        <v>68</v>
      </c>
      <c r="AH30" s="14">
        <f>AG30*78</f>
        <v>5304</v>
      </c>
      <c r="AI30" s="16">
        <v>3</v>
      </c>
      <c r="AJ30" s="16">
        <v>20</v>
      </c>
      <c r="AK30" s="16">
        <v>6</v>
      </c>
      <c r="AL30" s="15">
        <f t="shared" si="9"/>
        <v>29</v>
      </c>
      <c r="AM30" s="14">
        <f>AL30*78</f>
        <v>2262</v>
      </c>
    </row>
    <row r="31" spans="2:44" x14ac:dyDescent="0.3">
      <c r="B31" s="42" t="s">
        <v>32</v>
      </c>
      <c r="C31" s="16"/>
      <c r="D31" s="16"/>
      <c r="E31" s="16"/>
      <c r="F31" s="16"/>
      <c r="G31" s="16"/>
      <c r="H31" s="16"/>
      <c r="I31" s="15">
        <f t="shared" si="6"/>
        <v>0</v>
      </c>
      <c r="J31" s="14">
        <f>I31*70</f>
        <v>0</v>
      </c>
      <c r="K31" s="62"/>
      <c r="L31" s="62"/>
      <c r="M31" s="16"/>
      <c r="N31" s="16"/>
      <c r="O31" s="16"/>
      <c r="P31" s="16"/>
      <c r="Q31" s="15">
        <f t="shared" si="7"/>
        <v>0</v>
      </c>
      <c r="R31" s="14">
        <f>Q31*70</f>
        <v>0</v>
      </c>
      <c r="S31" s="16"/>
      <c r="T31" s="16"/>
      <c r="U31" s="16"/>
      <c r="V31" s="16"/>
      <c r="W31" s="16"/>
      <c r="X31" s="16"/>
      <c r="Y31" s="15">
        <f t="shared" si="8"/>
        <v>0</v>
      </c>
      <c r="Z31" s="14">
        <f>Y31*70</f>
        <v>0</v>
      </c>
      <c r="AA31" s="16"/>
      <c r="AB31" s="16"/>
      <c r="AC31" s="16"/>
      <c r="AD31" s="62"/>
      <c r="AE31" s="16"/>
      <c r="AF31" s="16"/>
      <c r="AG31" s="15">
        <f t="shared" si="5"/>
        <v>0</v>
      </c>
      <c r="AH31" s="14">
        <f>AG31*70</f>
        <v>0</v>
      </c>
      <c r="AI31" s="16"/>
      <c r="AJ31" s="16"/>
      <c r="AK31" s="16"/>
      <c r="AL31" s="15">
        <f t="shared" si="9"/>
        <v>0</v>
      </c>
      <c r="AM31" s="14">
        <f>AL31*70</f>
        <v>0</v>
      </c>
    </row>
    <row r="32" spans="2:44" x14ac:dyDescent="0.3">
      <c r="B32" s="42" t="s">
        <v>31</v>
      </c>
      <c r="C32" s="16"/>
      <c r="D32" s="16"/>
      <c r="E32" s="16"/>
      <c r="F32" s="16"/>
      <c r="G32" s="16"/>
      <c r="H32" s="16"/>
      <c r="I32" s="15">
        <f t="shared" si="6"/>
        <v>0</v>
      </c>
      <c r="J32" s="14">
        <f>I32*60</f>
        <v>0</v>
      </c>
      <c r="K32" s="62"/>
      <c r="L32" s="62"/>
      <c r="M32" s="16"/>
      <c r="N32" s="16"/>
      <c r="O32" s="16"/>
      <c r="P32" s="16"/>
      <c r="Q32" s="15">
        <f t="shared" si="7"/>
        <v>0</v>
      </c>
      <c r="R32" s="14">
        <f>Q32*60</f>
        <v>0</v>
      </c>
      <c r="S32" s="16"/>
      <c r="T32" s="16"/>
      <c r="U32" s="16"/>
      <c r="V32" s="16"/>
      <c r="W32" s="16"/>
      <c r="X32" s="16"/>
      <c r="Y32" s="15">
        <f t="shared" si="8"/>
        <v>0</v>
      </c>
      <c r="Z32" s="14">
        <f>Y32*60</f>
        <v>0</v>
      </c>
      <c r="AA32" s="16"/>
      <c r="AB32" s="16">
        <v>50</v>
      </c>
      <c r="AC32" s="16"/>
      <c r="AD32" s="62"/>
      <c r="AE32" s="16"/>
      <c r="AF32" s="16"/>
      <c r="AG32" s="15">
        <f t="shared" si="5"/>
        <v>50</v>
      </c>
      <c r="AH32" s="14">
        <f>AG32*60</f>
        <v>3000</v>
      </c>
      <c r="AI32" s="16"/>
      <c r="AJ32" s="16"/>
      <c r="AK32" s="16"/>
      <c r="AL32" s="15">
        <f t="shared" si="9"/>
        <v>0</v>
      </c>
      <c r="AM32" s="14">
        <f>AL32*60</f>
        <v>0</v>
      </c>
    </row>
    <row r="33" spans="2:43" x14ac:dyDescent="0.3">
      <c r="B33" s="42" t="s">
        <v>30</v>
      </c>
      <c r="C33" s="16"/>
      <c r="D33" s="16"/>
      <c r="E33" s="16"/>
      <c r="F33" s="16"/>
      <c r="G33" s="16"/>
      <c r="H33" s="16"/>
      <c r="I33" s="15">
        <f t="shared" si="6"/>
        <v>0</v>
      </c>
      <c r="J33" s="14">
        <f>I33*60</f>
        <v>0</v>
      </c>
      <c r="K33" s="62"/>
      <c r="L33" s="62"/>
      <c r="M33" s="16"/>
      <c r="N33" s="16"/>
      <c r="O33" s="16"/>
      <c r="P33" s="16"/>
      <c r="Q33" s="15">
        <f t="shared" si="7"/>
        <v>0</v>
      </c>
      <c r="R33" s="14">
        <f>Q33*60</f>
        <v>0</v>
      </c>
      <c r="S33" s="16"/>
      <c r="T33" s="16"/>
      <c r="U33" s="16"/>
      <c r="V33" s="16"/>
      <c r="W33" s="16"/>
      <c r="X33" s="16"/>
      <c r="Y33" s="15">
        <f t="shared" si="8"/>
        <v>0</v>
      </c>
      <c r="Z33" s="14">
        <f>Y33*60</f>
        <v>0</v>
      </c>
      <c r="AA33" s="16"/>
      <c r="AB33" s="16"/>
      <c r="AC33" s="16"/>
      <c r="AD33" s="62"/>
      <c r="AE33" s="16"/>
      <c r="AF33" s="16"/>
      <c r="AG33" s="15">
        <f t="shared" si="5"/>
        <v>0</v>
      </c>
      <c r="AH33" s="14">
        <f>AG33*60</f>
        <v>0</v>
      </c>
      <c r="AI33" s="16"/>
      <c r="AJ33" s="16"/>
      <c r="AK33" s="16"/>
      <c r="AL33" s="15">
        <f t="shared" si="9"/>
        <v>0</v>
      </c>
      <c r="AM33" s="14">
        <f>AL33*60</f>
        <v>0</v>
      </c>
    </row>
    <row r="34" spans="2:43" x14ac:dyDescent="0.3">
      <c r="B34" s="42" t="s">
        <v>29</v>
      </c>
      <c r="C34" s="16"/>
      <c r="D34" s="16"/>
      <c r="E34" s="16"/>
      <c r="F34" s="16"/>
      <c r="G34" s="16"/>
      <c r="H34" s="16"/>
      <c r="I34" s="15">
        <f t="shared" si="6"/>
        <v>0</v>
      </c>
      <c r="J34" s="14">
        <f>I34*40</f>
        <v>0</v>
      </c>
      <c r="K34" s="62"/>
      <c r="L34" s="62"/>
      <c r="M34" s="16"/>
      <c r="N34" s="16"/>
      <c r="O34" s="16"/>
      <c r="P34" s="16"/>
      <c r="Q34" s="15">
        <f t="shared" si="7"/>
        <v>0</v>
      </c>
      <c r="R34" s="14">
        <f>Q34*40</f>
        <v>0</v>
      </c>
      <c r="S34" s="16"/>
      <c r="T34" s="16"/>
      <c r="U34" s="16"/>
      <c r="V34" s="16"/>
      <c r="W34" s="16"/>
      <c r="X34" s="16"/>
      <c r="Y34" s="15">
        <f t="shared" si="8"/>
        <v>0</v>
      </c>
      <c r="Z34" s="14">
        <f>Y34*40</f>
        <v>0</v>
      </c>
      <c r="AA34" s="16"/>
      <c r="AB34" s="16">
        <v>153</v>
      </c>
      <c r="AC34" s="16"/>
      <c r="AD34" s="62"/>
      <c r="AE34" s="16"/>
      <c r="AF34" s="16"/>
      <c r="AG34" s="15">
        <f t="shared" si="5"/>
        <v>153</v>
      </c>
      <c r="AH34" s="14">
        <f>AG34*40</f>
        <v>6120</v>
      </c>
      <c r="AI34" s="16"/>
      <c r="AJ34" s="16"/>
      <c r="AK34" s="16"/>
      <c r="AL34" s="15">
        <f t="shared" si="9"/>
        <v>0</v>
      </c>
      <c r="AM34" s="14">
        <f>AL34*40</f>
        <v>0</v>
      </c>
    </row>
    <row r="35" spans="2:43" x14ac:dyDescent="0.3">
      <c r="B35" s="42" t="s">
        <v>28</v>
      </c>
      <c r="C35" s="16"/>
      <c r="D35" s="16">
        <v>20</v>
      </c>
      <c r="E35" s="16"/>
      <c r="F35" s="16"/>
      <c r="G35" s="16"/>
      <c r="H35" s="16">
        <v>20</v>
      </c>
      <c r="I35" s="15">
        <f t="shared" si="6"/>
        <v>40</v>
      </c>
      <c r="J35" s="14">
        <f>I35*40</f>
        <v>1600</v>
      </c>
      <c r="K35" s="62"/>
      <c r="L35" s="62"/>
      <c r="M35" s="16"/>
      <c r="N35" s="16">
        <v>32</v>
      </c>
      <c r="O35" s="16">
        <v>50</v>
      </c>
      <c r="P35" s="16"/>
      <c r="Q35" s="15">
        <f t="shared" si="7"/>
        <v>82</v>
      </c>
      <c r="R35" s="14">
        <f>Q35*40</f>
        <v>3280</v>
      </c>
      <c r="S35" s="16"/>
      <c r="T35" s="16"/>
      <c r="U35" s="16">
        <v>30</v>
      </c>
      <c r="V35" s="16"/>
      <c r="W35" s="16">
        <v>32</v>
      </c>
      <c r="X35" s="16">
        <v>98</v>
      </c>
      <c r="Y35" s="15">
        <f t="shared" si="8"/>
        <v>160</v>
      </c>
      <c r="Z35" s="14">
        <f>Y35*40</f>
        <v>6400</v>
      </c>
      <c r="AA35" s="16"/>
      <c r="AB35" s="16">
        <v>161</v>
      </c>
      <c r="AC35" s="16"/>
      <c r="AD35" s="62"/>
      <c r="AE35" s="16"/>
      <c r="AF35" s="16"/>
      <c r="AG35" s="15">
        <f t="shared" si="5"/>
        <v>161</v>
      </c>
      <c r="AH35" s="14">
        <f>AG35*40</f>
        <v>6440</v>
      </c>
      <c r="AI35" s="16"/>
      <c r="AJ35" s="16"/>
      <c r="AK35" s="16"/>
      <c r="AL35" s="15">
        <f t="shared" si="9"/>
        <v>0</v>
      </c>
      <c r="AM35" s="14">
        <f>AL35*40</f>
        <v>0</v>
      </c>
    </row>
    <row r="36" spans="2:43" x14ac:dyDescent="0.3">
      <c r="B36" s="42" t="s">
        <v>27</v>
      </c>
      <c r="C36" s="16"/>
      <c r="D36" s="16"/>
      <c r="E36" s="16"/>
      <c r="F36" s="16"/>
      <c r="G36" s="16"/>
      <c r="H36" s="16"/>
      <c r="I36" s="15">
        <f t="shared" si="6"/>
        <v>0</v>
      </c>
      <c r="J36" s="14">
        <f>I36*76</f>
        <v>0</v>
      </c>
      <c r="K36" s="62"/>
      <c r="L36" s="62"/>
      <c r="M36" s="16"/>
      <c r="N36" s="16"/>
      <c r="O36" s="16"/>
      <c r="P36" s="16"/>
      <c r="Q36" s="15">
        <f t="shared" si="7"/>
        <v>0</v>
      </c>
      <c r="R36" s="14">
        <f>Q36*76</f>
        <v>0</v>
      </c>
      <c r="S36" s="16"/>
      <c r="T36" s="16">
        <v>36</v>
      </c>
      <c r="U36" s="16"/>
      <c r="V36" s="16"/>
      <c r="W36" s="16"/>
      <c r="X36" s="16"/>
      <c r="Y36" s="15">
        <f t="shared" si="8"/>
        <v>36</v>
      </c>
      <c r="Z36" s="14">
        <f>Y36*76</f>
        <v>2736</v>
      </c>
      <c r="AA36" s="16"/>
      <c r="AB36" s="16"/>
      <c r="AC36" s="16"/>
      <c r="AD36" s="62"/>
      <c r="AE36" s="16"/>
      <c r="AF36" s="16"/>
      <c r="AG36" s="15">
        <f t="shared" si="5"/>
        <v>0</v>
      </c>
      <c r="AH36" s="14">
        <f>AG36*76</f>
        <v>0</v>
      </c>
      <c r="AI36" s="16"/>
      <c r="AJ36" s="16"/>
      <c r="AK36" s="16"/>
      <c r="AL36" s="15">
        <f t="shared" si="9"/>
        <v>0</v>
      </c>
      <c r="AM36" s="14">
        <f>AL36*76</f>
        <v>0</v>
      </c>
    </row>
    <row r="37" spans="2:43" x14ac:dyDescent="0.3">
      <c r="B37" s="42" t="s">
        <v>26</v>
      </c>
      <c r="C37" s="16"/>
      <c r="D37" s="16"/>
      <c r="E37" s="16"/>
      <c r="F37" s="16"/>
      <c r="G37" s="16"/>
      <c r="H37" s="16"/>
      <c r="I37" s="15">
        <f t="shared" si="6"/>
        <v>0</v>
      </c>
      <c r="J37" s="14">
        <f>I37*90</f>
        <v>0</v>
      </c>
      <c r="K37" s="62"/>
      <c r="L37" s="62"/>
      <c r="M37" s="16"/>
      <c r="N37" s="16"/>
      <c r="O37" s="16"/>
      <c r="P37" s="16"/>
      <c r="Q37" s="15">
        <f t="shared" si="7"/>
        <v>0</v>
      </c>
      <c r="R37" s="14">
        <f>Q37*90</f>
        <v>0</v>
      </c>
      <c r="S37" s="16"/>
      <c r="T37" s="16"/>
      <c r="U37" s="16"/>
      <c r="V37" s="16"/>
      <c r="W37" s="16"/>
      <c r="X37" s="16"/>
      <c r="Y37" s="15">
        <f t="shared" si="8"/>
        <v>0</v>
      </c>
      <c r="Z37" s="14">
        <f>Y37*90</f>
        <v>0</v>
      </c>
      <c r="AA37" s="16"/>
      <c r="AB37" s="16"/>
      <c r="AC37" s="16"/>
      <c r="AD37" s="62"/>
      <c r="AE37" s="16"/>
      <c r="AF37" s="16"/>
      <c r="AG37" s="15">
        <f t="shared" si="5"/>
        <v>0</v>
      </c>
      <c r="AH37" s="14">
        <f>AG37*90</f>
        <v>0</v>
      </c>
      <c r="AI37" s="16"/>
      <c r="AJ37" s="16"/>
      <c r="AK37" s="16"/>
      <c r="AL37" s="15">
        <f t="shared" si="9"/>
        <v>0</v>
      </c>
      <c r="AM37" s="14">
        <f>AL37*90</f>
        <v>0</v>
      </c>
    </row>
    <row r="38" spans="2:43" x14ac:dyDescent="0.3">
      <c r="B38" s="42" t="s">
        <v>25</v>
      </c>
      <c r="C38" s="16"/>
      <c r="D38" s="16"/>
      <c r="E38" s="16"/>
      <c r="F38" s="16"/>
      <c r="G38" s="16"/>
      <c r="H38" s="16"/>
      <c r="I38" s="15">
        <f t="shared" si="6"/>
        <v>0</v>
      </c>
      <c r="J38" s="14">
        <f>I38*91</f>
        <v>0</v>
      </c>
      <c r="K38" s="62"/>
      <c r="L38" s="62"/>
      <c r="M38" s="16"/>
      <c r="N38" s="16"/>
      <c r="O38" s="16"/>
      <c r="P38" s="16"/>
      <c r="Q38" s="15">
        <f t="shared" si="7"/>
        <v>0</v>
      </c>
      <c r="R38" s="14">
        <f>Q38*91</f>
        <v>0</v>
      </c>
      <c r="S38" s="16"/>
      <c r="T38" s="16"/>
      <c r="U38" s="16"/>
      <c r="V38" s="16"/>
      <c r="W38" s="16"/>
      <c r="X38" s="16"/>
      <c r="Y38" s="15">
        <f t="shared" si="8"/>
        <v>0</v>
      </c>
      <c r="Z38" s="14">
        <f>Y38*91</f>
        <v>0</v>
      </c>
      <c r="AA38" s="16"/>
      <c r="AB38" s="16"/>
      <c r="AC38" s="16">
        <v>10</v>
      </c>
      <c r="AD38" s="62"/>
      <c r="AE38" s="16"/>
      <c r="AF38" s="16"/>
      <c r="AG38" s="15">
        <f t="shared" si="5"/>
        <v>10</v>
      </c>
      <c r="AH38" s="14">
        <f>AG38*91</f>
        <v>910</v>
      </c>
      <c r="AI38" s="16"/>
      <c r="AJ38" s="16"/>
      <c r="AK38" s="16"/>
      <c r="AL38" s="15">
        <f t="shared" si="9"/>
        <v>0</v>
      </c>
      <c r="AM38" s="14">
        <f>AL38*91</f>
        <v>0</v>
      </c>
    </row>
    <row r="39" spans="2:43" x14ac:dyDescent="0.3">
      <c r="B39" s="42" t="s">
        <v>24</v>
      </c>
      <c r="C39" s="16"/>
      <c r="D39" s="16"/>
      <c r="E39" s="16"/>
      <c r="F39" s="16"/>
      <c r="G39" s="16"/>
      <c r="H39" s="16"/>
      <c r="I39" s="15">
        <f t="shared" si="6"/>
        <v>0</v>
      </c>
      <c r="J39" s="14">
        <f>I39*90</f>
        <v>0</v>
      </c>
      <c r="K39" s="62"/>
      <c r="L39" s="62"/>
      <c r="M39" s="16"/>
      <c r="N39" s="16"/>
      <c r="O39" s="16"/>
      <c r="P39" s="16"/>
      <c r="Q39" s="15">
        <f t="shared" si="7"/>
        <v>0</v>
      </c>
      <c r="R39" s="14">
        <f>Q39*90</f>
        <v>0</v>
      </c>
      <c r="S39" s="16"/>
      <c r="T39" s="16"/>
      <c r="U39" s="16"/>
      <c r="V39" s="16"/>
      <c r="W39" s="16"/>
      <c r="X39" s="16"/>
      <c r="Y39" s="15">
        <f t="shared" si="8"/>
        <v>0</v>
      </c>
      <c r="Z39" s="14">
        <f>Y39*90</f>
        <v>0</v>
      </c>
      <c r="AA39" s="16"/>
      <c r="AB39" s="16"/>
      <c r="AC39" s="16">
        <v>10</v>
      </c>
      <c r="AD39" s="62"/>
      <c r="AE39" s="16"/>
      <c r="AF39" s="16"/>
      <c r="AG39" s="15">
        <f t="shared" si="5"/>
        <v>10</v>
      </c>
      <c r="AH39" s="14">
        <f>AG39*90</f>
        <v>900</v>
      </c>
      <c r="AI39" s="16"/>
      <c r="AJ39" s="16"/>
      <c r="AK39" s="16"/>
      <c r="AL39" s="15">
        <f t="shared" si="9"/>
        <v>0</v>
      </c>
      <c r="AM39" s="14">
        <f>AL39*90</f>
        <v>0</v>
      </c>
    </row>
    <row r="40" spans="2:43" x14ac:dyDescent="0.3">
      <c r="B40" s="42" t="s">
        <v>23</v>
      </c>
      <c r="C40" s="16"/>
      <c r="D40" s="16"/>
      <c r="E40" s="16"/>
      <c r="F40" s="16"/>
      <c r="G40" s="16"/>
      <c r="H40" s="16"/>
      <c r="I40" s="15">
        <f t="shared" ref="I40:I47" si="10">SUM(C40:H40)</f>
        <v>0</v>
      </c>
      <c r="J40" s="14">
        <f>I40*76</f>
        <v>0</v>
      </c>
      <c r="K40" s="62"/>
      <c r="L40" s="62"/>
      <c r="M40" s="16"/>
      <c r="N40" s="16"/>
      <c r="O40" s="16"/>
      <c r="P40" s="16"/>
      <c r="Q40" s="15">
        <f t="shared" si="7"/>
        <v>0</v>
      </c>
      <c r="R40" s="14">
        <f>Q40*76</f>
        <v>0</v>
      </c>
      <c r="S40" s="16"/>
      <c r="T40" s="16">
        <v>26</v>
      </c>
      <c r="U40" s="16"/>
      <c r="V40" s="16"/>
      <c r="W40" s="16"/>
      <c r="X40" s="16"/>
      <c r="Y40" s="15">
        <f t="shared" si="8"/>
        <v>26</v>
      </c>
      <c r="Z40" s="14">
        <f>Y40*76</f>
        <v>1976</v>
      </c>
      <c r="AA40" s="16"/>
      <c r="AB40" s="16"/>
      <c r="AC40" s="16"/>
      <c r="AD40" s="62"/>
      <c r="AE40" s="16"/>
      <c r="AF40" s="16"/>
      <c r="AG40" s="15">
        <f t="shared" si="5"/>
        <v>0</v>
      </c>
      <c r="AH40" s="14">
        <f>AG40*76</f>
        <v>0</v>
      </c>
      <c r="AI40" s="16"/>
      <c r="AJ40" s="16"/>
      <c r="AK40" s="16"/>
      <c r="AL40" s="15">
        <f t="shared" si="9"/>
        <v>0</v>
      </c>
      <c r="AM40" s="14">
        <f>AL40*76</f>
        <v>0</v>
      </c>
    </row>
    <row r="41" spans="2:43" x14ac:dyDescent="0.3">
      <c r="B41" s="42" t="s">
        <v>22</v>
      </c>
      <c r="C41" s="16"/>
      <c r="D41" s="16"/>
      <c r="E41" s="16"/>
      <c r="F41" s="16"/>
      <c r="G41" s="16"/>
      <c r="H41" s="16"/>
      <c r="I41" s="15">
        <f t="shared" si="10"/>
        <v>0</v>
      </c>
      <c r="J41" s="14">
        <f>I41*100</f>
        <v>0</v>
      </c>
      <c r="K41" s="62"/>
      <c r="L41" s="62"/>
      <c r="M41" s="16"/>
      <c r="N41" s="16"/>
      <c r="O41" s="16"/>
      <c r="P41" s="16"/>
      <c r="Q41" s="15">
        <f t="shared" si="7"/>
        <v>0</v>
      </c>
      <c r="R41" s="14">
        <f>Q41*100</f>
        <v>0</v>
      </c>
      <c r="S41" s="16"/>
      <c r="T41" s="16"/>
      <c r="U41" s="16"/>
      <c r="V41" s="16"/>
      <c r="W41" s="16"/>
      <c r="X41" s="16"/>
      <c r="Y41" s="15">
        <f t="shared" si="8"/>
        <v>0</v>
      </c>
      <c r="Z41" s="14">
        <f>Y41*100</f>
        <v>0</v>
      </c>
      <c r="AA41" s="16"/>
      <c r="AB41" s="16"/>
      <c r="AC41" s="16"/>
      <c r="AD41" s="62"/>
      <c r="AE41" s="16"/>
      <c r="AF41" s="16"/>
      <c r="AG41" s="15">
        <f t="shared" si="5"/>
        <v>0</v>
      </c>
      <c r="AH41" s="14">
        <f>AG41*100</f>
        <v>0</v>
      </c>
      <c r="AI41" s="16"/>
      <c r="AJ41" s="16"/>
      <c r="AK41" s="16"/>
      <c r="AL41" s="15">
        <f t="shared" si="9"/>
        <v>0</v>
      </c>
      <c r="AM41" s="14">
        <f>AL41*100</f>
        <v>0</v>
      </c>
    </row>
    <row r="42" spans="2:43" x14ac:dyDescent="0.3">
      <c r="B42" s="42" t="s">
        <v>21</v>
      </c>
      <c r="C42" s="16"/>
      <c r="D42" s="16"/>
      <c r="E42" s="16"/>
      <c r="F42" s="16"/>
      <c r="G42" s="16"/>
      <c r="H42" s="16"/>
      <c r="I42" s="15">
        <f t="shared" si="10"/>
        <v>0</v>
      </c>
      <c r="J42" s="14">
        <f>I42*100</f>
        <v>0</v>
      </c>
      <c r="K42" s="62"/>
      <c r="L42" s="62"/>
      <c r="M42" s="16"/>
      <c r="N42" s="16"/>
      <c r="O42" s="16"/>
      <c r="P42" s="16"/>
      <c r="Q42" s="15">
        <f t="shared" si="7"/>
        <v>0</v>
      </c>
      <c r="R42" s="14">
        <f>Q42*100</f>
        <v>0</v>
      </c>
      <c r="S42" s="16"/>
      <c r="T42" s="16"/>
      <c r="U42" s="16"/>
      <c r="V42" s="16"/>
      <c r="W42" s="16"/>
      <c r="X42" s="16"/>
      <c r="Y42" s="15">
        <f t="shared" si="8"/>
        <v>0</v>
      </c>
      <c r="Z42" s="14">
        <f>Y42*100</f>
        <v>0</v>
      </c>
      <c r="AA42" s="16"/>
      <c r="AB42" s="16"/>
      <c r="AC42" s="16"/>
      <c r="AD42" s="62"/>
      <c r="AE42" s="16"/>
      <c r="AF42" s="16"/>
      <c r="AG42" s="15">
        <f t="shared" si="5"/>
        <v>0</v>
      </c>
      <c r="AH42" s="14">
        <f>AG42*100</f>
        <v>0</v>
      </c>
      <c r="AI42" s="16"/>
      <c r="AJ42" s="16"/>
      <c r="AK42" s="16"/>
      <c r="AL42" s="15">
        <f t="shared" si="9"/>
        <v>0</v>
      </c>
      <c r="AM42" s="14">
        <f>AL42*100</f>
        <v>0</v>
      </c>
    </row>
    <row r="43" spans="2:43" x14ac:dyDescent="0.3">
      <c r="B43" s="42" t="s">
        <v>20</v>
      </c>
      <c r="C43" s="16"/>
      <c r="D43" s="16"/>
      <c r="E43" s="16"/>
      <c r="F43" s="16"/>
      <c r="G43" s="16"/>
      <c r="H43" s="16">
        <v>15</v>
      </c>
      <c r="I43" s="15">
        <f t="shared" si="10"/>
        <v>15</v>
      </c>
      <c r="J43" s="14">
        <f>I43*78</f>
        <v>1170</v>
      </c>
      <c r="K43" s="62"/>
      <c r="L43" s="62"/>
      <c r="M43" s="16"/>
      <c r="N43" s="16"/>
      <c r="O43" s="16"/>
      <c r="P43" s="16"/>
      <c r="Q43" s="15">
        <f t="shared" si="7"/>
        <v>0</v>
      </c>
      <c r="R43" s="14">
        <f>Q43*78</f>
        <v>0</v>
      </c>
      <c r="S43" s="16"/>
      <c r="T43" s="16">
        <v>14</v>
      </c>
      <c r="U43" s="16"/>
      <c r="V43" s="16"/>
      <c r="W43" s="16"/>
      <c r="X43" s="16"/>
      <c r="Y43" s="15">
        <f t="shared" si="8"/>
        <v>14</v>
      </c>
      <c r="Z43" s="14">
        <f>Y43*78</f>
        <v>1092</v>
      </c>
      <c r="AA43" s="16"/>
      <c r="AB43" s="16"/>
      <c r="AC43" s="16"/>
      <c r="AD43" s="62"/>
      <c r="AE43" s="16"/>
      <c r="AF43" s="16"/>
      <c r="AG43" s="15">
        <f t="shared" si="5"/>
        <v>0</v>
      </c>
      <c r="AH43" s="14">
        <f>AG43*78</f>
        <v>0</v>
      </c>
      <c r="AI43" s="16"/>
      <c r="AJ43" s="16"/>
      <c r="AK43" s="16"/>
      <c r="AL43" s="15">
        <f t="shared" si="9"/>
        <v>0</v>
      </c>
      <c r="AM43" s="14">
        <f>AL43*78</f>
        <v>0</v>
      </c>
    </row>
    <row r="44" spans="2:43" ht="15.6" x14ac:dyDescent="0.3">
      <c r="B44" s="17" t="s">
        <v>19</v>
      </c>
      <c r="C44" s="16"/>
      <c r="D44" s="16"/>
      <c r="E44" s="16">
        <v>50</v>
      </c>
      <c r="F44" s="16"/>
      <c r="G44" s="16"/>
      <c r="H44" s="16"/>
      <c r="I44" s="15">
        <f t="shared" si="10"/>
        <v>50</v>
      </c>
      <c r="J44" s="14">
        <f>I44*92</f>
        <v>4600</v>
      </c>
      <c r="K44" s="62"/>
      <c r="L44" s="62"/>
      <c r="M44" s="16"/>
      <c r="N44" s="16">
        <v>40</v>
      </c>
      <c r="O44" s="16"/>
      <c r="P44" s="16">
        <v>20</v>
      </c>
      <c r="Q44" s="15">
        <f>SUM(K44:P44)</f>
        <v>60</v>
      </c>
      <c r="R44" s="14">
        <f>Q44*92</f>
        <v>5520</v>
      </c>
      <c r="S44" s="16"/>
      <c r="T44" s="16">
        <v>15</v>
      </c>
      <c r="U44" s="16"/>
      <c r="V44" s="16"/>
      <c r="W44" s="16"/>
      <c r="X44" s="16">
        <v>50</v>
      </c>
      <c r="Y44" s="15">
        <f t="shared" si="8"/>
        <v>65</v>
      </c>
      <c r="Z44" s="14">
        <f>Y44*92</f>
        <v>5980</v>
      </c>
      <c r="AA44" s="16">
        <v>10</v>
      </c>
      <c r="AB44" s="16"/>
      <c r="AC44" s="16"/>
      <c r="AD44" s="62"/>
      <c r="AE44" s="16"/>
      <c r="AF44" s="16"/>
      <c r="AG44" s="15">
        <f t="shared" si="5"/>
        <v>10</v>
      </c>
      <c r="AH44" s="14">
        <f>AG44*92</f>
        <v>920</v>
      </c>
      <c r="AI44" s="16">
        <v>80</v>
      </c>
      <c r="AJ44" s="16"/>
      <c r="AK44" s="16"/>
      <c r="AL44" s="15">
        <f t="shared" si="9"/>
        <v>80</v>
      </c>
      <c r="AM44" s="14">
        <f>AL44*92</f>
        <v>7360</v>
      </c>
      <c r="AO44" s="41"/>
      <c r="AP44" s="40"/>
    </row>
    <row r="45" spans="2:43" x14ac:dyDescent="0.3">
      <c r="B45" s="17" t="s">
        <v>18</v>
      </c>
      <c r="C45" s="16"/>
      <c r="D45" s="16"/>
      <c r="E45" s="16"/>
      <c r="F45" s="16"/>
      <c r="G45" s="16"/>
      <c r="H45" s="16">
        <v>60</v>
      </c>
      <c r="I45" s="15">
        <f t="shared" si="10"/>
        <v>60</v>
      </c>
      <c r="J45" s="14">
        <f>I45*95</f>
        <v>5700</v>
      </c>
      <c r="K45" s="62"/>
      <c r="L45" s="62"/>
      <c r="M45" s="16"/>
      <c r="N45" s="16">
        <v>40</v>
      </c>
      <c r="O45" s="16">
        <v>40</v>
      </c>
      <c r="P45" s="16"/>
      <c r="Q45" s="15">
        <f>SUM(K45:P45)</f>
        <v>80</v>
      </c>
      <c r="R45" s="14">
        <f>Q45*95</f>
        <v>7600</v>
      </c>
      <c r="S45" s="16">
        <v>25</v>
      </c>
      <c r="T45" s="16"/>
      <c r="U45" s="16">
        <v>95</v>
      </c>
      <c r="V45" s="16"/>
      <c r="W45" s="16"/>
      <c r="X45" s="16"/>
      <c r="Y45" s="15">
        <f t="shared" si="8"/>
        <v>120</v>
      </c>
      <c r="Z45" s="14">
        <f>Y45*95</f>
        <v>11400</v>
      </c>
      <c r="AA45" s="16"/>
      <c r="AB45" s="16"/>
      <c r="AC45" s="16"/>
      <c r="AD45" s="62"/>
      <c r="AE45" s="16"/>
      <c r="AF45" s="16"/>
      <c r="AG45" s="15">
        <f t="shared" si="5"/>
        <v>0</v>
      </c>
      <c r="AH45" s="14">
        <f>AG45*95</f>
        <v>0</v>
      </c>
      <c r="AI45" s="16"/>
      <c r="AJ45" s="16"/>
      <c r="AK45" s="16">
        <v>1</v>
      </c>
      <c r="AL45" s="15">
        <f t="shared" si="9"/>
        <v>1</v>
      </c>
      <c r="AM45" s="14">
        <f>AL45*95</f>
        <v>95</v>
      </c>
    </row>
    <row r="46" spans="2:43" x14ac:dyDescent="0.3">
      <c r="B46" s="17" t="s">
        <v>17</v>
      </c>
      <c r="C46" s="16"/>
      <c r="D46" s="16">
        <v>49</v>
      </c>
      <c r="E46" s="16">
        <v>30</v>
      </c>
      <c r="F46" s="16"/>
      <c r="G46" s="16"/>
      <c r="H46" s="16">
        <v>20</v>
      </c>
      <c r="I46" s="15">
        <f t="shared" si="10"/>
        <v>99</v>
      </c>
      <c r="J46" s="14">
        <f>I46*93</f>
        <v>9207</v>
      </c>
      <c r="K46" s="62"/>
      <c r="L46" s="62"/>
      <c r="M46" s="16">
        <v>2</v>
      </c>
      <c r="N46" s="16"/>
      <c r="O46" s="16">
        <v>25</v>
      </c>
      <c r="P46" s="16">
        <v>15</v>
      </c>
      <c r="Q46" s="15">
        <f>SUM(K46:P46)</f>
        <v>42</v>
      </c>
      <c r="R46" s="14">
        <f>Q46*93</f>
        <v>3906</v>
      </c>
      <c r="S46" s="16">
        <v>6</v>
      </c>
      <c r="T46" s="16">
        <v>2</v>
      </c>
      <c r="U46" s="16"/>
      <c r="V46" s="16"/>
      <c r="W46" s="16">
        <v>20</v>
      </c>
      <c r="X46" s="16"/>
      <c r="Y46" s="15">
        <f t="shared" si="8"/>
        <v>28</v>
      </c>
      <c r="Z46" s="14">
        <f>Y46*93</f>
        <v>2604</v>
      </c>
      <c r="AA46" s="16"/>
      <c r="AB46" s="16">
        <v>51</v>
      </c>
      <c r="AC46" s="16"/>
      <c r="AD46" s="62"/>
      <c r="AE46" s="16"/>
      <c r="AF46" s="16"/>
      <c r="AG46" s="15">
        <f t="shared" si="5"/>
        <v>51</v>
      </c>
      <c r="AH46" s="14">
        <f>AG46*93</f>
        <v>4743</v>
      </c>
      <c r="AI46" s="16">
        <v>1</v>
      </c>
      <c r="AJ46" s="16"/>
      <c r="AK46" s="16">
        <v>6</v>
      </c>
      <c r="AL46" s="15">
        <f t="shared" si="9"/>
        <v>7</v>
      </c>
      <c r="AM46" s="14">
        <f>AL46*93</f>
        <v>651</v>
      </c>
    </row>
    <row r="47" spans="2:43" x14ac:dyDescent="0.3">
      <c r="B47" s="17" t="s">
        <v>14</v>
      </c>
      <c r="C47" s="16"/>
      <c r="D47" s="16">
        <v>10</v>
      </c>
      <c r="E47" s="16">
        <v>2</v>
      </c>
      <c r="F47" s="16">
        <v>20</v>
      </c>
      <c r="G47" s="16"/>
      <c r="H47" s="16">
        <v>53</v>
      </c>
      <c r="I47" s="15">
        <f t="shared" si="10"/>
        <v>85</v>
      </c>
      <c r="J47" s="14">
        <f>I47*52</f>
        <v>4420</v>
      </c>
      <c r="K47" s="62"/>
      <c r="L47" s="62"/>
      <c r="M47" s="16">
        <v>41</v>
      </c>
      <c r="N47" s="16">
        <v>30</v>
      </c>
      <c r="O47" s="16">
        <v>80</v>
      </c>
      <c r="P47" s="16">
        <v>16</v>
      </c>
      <c r="Q47" s="15">
        <f>SUM(K47:P47)</f>
        <v>167</v>
      </c>
      <c r="R47" s="14">
        <f>Q47*52</f>
        <v>8684</v>
      </c>
      <c r="S47" s="16">
        <v>2</v>
      </c>
      <c r="T47" s="16">
        <v>16</v>
      </c>
      <c r="U47" s="16">
        <v>45</v>
      </c>
      <c r="V47" s="16">
        <v>6</v>
      </c>
      <c r="W47" s="16">
        <v>10</v>
      </c>
      <c r="X47" s="16">
        <v>15</v>
      </c>
      <c r="Y47" s="15">
        <f t="shared" si="8"/>
        <v>94</v>
      </c>
      <c r="Z47" s="14">
        <f>Y47*52</f>
        <v>4888</v>
      </c>
      <c r="AA47" s="16">
        <v>21</v>
      </c>
      <c r="AB47" s="16">
        <v>34</v>
      </c>
      <c r="AC47" s="16">
        <v>20</v>
      </c>
      <c r="AD47" s="62"/>
      <c r="AE47" s="16"/>
      <c r="AF47" s="16"/>
      <c r="AG47" s="15">
        <f t="shared" si="5"/>
        <v>75</v>
      </c>
      <c r="AH47" s="14">
        <f>AG47*52</f>
        <v>3900</v>
      </c>
      <c r="AI47" s="16"/>
      <c r="AJ47" s="16"/>
      <c r="AK47" s="16">
        <v>4</v>
      </c>
      <c r="AL47" s="15">
        <f t="shared" si="9"/>
        <v>4</v>
      </c>
      <c r="AM47" s="14">
        <f>AL47*52</f>
        <v>208</v>
      </c>
    </row>
    <row r="48" spans="2:43" ht="15.6" x14ac:dyDescent="0.3">
      <c r="C48" s="10"/>
      <c r="D48" s="10"/>
      <c r="E48" s="10"/>
      <c r="F48" s="10"/>
      <c r="G48" s="10"/>
      <c r="H48" s="10"/>
      <c r="I48" s="39">
        <f>SUM(I20:I43)</f>
        <v>137</v>
      </c>
      <c r="J48" s="38">
        <f>SUM(J20:J43)</f>
        <v>9403</v>
      </c>
      <c r="K48" s="10"/>
      <c r="L48" s="10"/>
      <c r="M48" s="10"/>
      <c r="N48" s="10"/>
      <c r="O48" s="10"/>
      <c r="P48" s="10"/>
      <c r="Q48" s="39">
        <f>SUM(Q20:Q43)</f>
        <v>286</v>
      </c>
      <c r="R48" s="38">
        <f>SUM(R20:R43)</f>
        <v>20028</v>
      </c>
      <c r="S48" s="10"/>
      <c r="T48" s="10"/>
      <c r="U48" s="10"/>
      <c r="V48" s="10"/>
      <c r="W48" s="10"/>
      <c r="X48" s="10"/>
      <c r="Y48" s="39">
        <f>SUM(Y20:Y43)</f>
        <v>1207</v>
      </c>
      <c r="Z48" s="38">
        <f>SUM(Z20:Z43)</f>
        <v>104224</v>
      </c>
      <c r="AA48" s="10"/>
      <c r="AB48" s="10"/>
      <c r="AC48" s="10"/>
      <c r="AD48" s="10"/>
      <c r="AE48" s="10"/>
      <c r="AF48" s="10"/>
      <c r="AG48" s="39">
        <f>SUM(AG20:AG43)</f>
        <v>593</v>
      </c>
      <c r="AH48" s="38">
        <f>SUM(AH20:AH43)</f>
        <v>34635</v>
      </c>
      <c r="AI48" s="10"/>
      <c r="AJ48" s="10"/>
      <c r="AK48" s="10"/>
      <c r="AL48" s="39">
        <f>SUM(AL20:AL43)</f>
        <v>54</v>
      </c>
      <c r="AM48" s="38">
        <f>SUM(AM20:AM43)</f>
        <v>4402</v>
      </c>
      <c r="AO48" s="35" t="s">
        <v>15</v>
      </c>
      <c r="AP48" s="37">
        <f>I51+Q51+Y51+AG51</f>
        <v>665</v>
      </c>
      <c r="AQ48" s="30">
        <f>AP49/AP48</f>
        <v>93.503759398496243</v>
      </c>
    </row>
    <row r="49" spans="2:46" ht="15.6" x14ac:dyDescent="0.3">
      <c r="C49" s="32"/>
      <c r="D49" s="32"/>
      <c r="E49" s="32"/>
      <c r="F49" s="32"/>
      <c r="G49" s="32"/>
      <c r="H49" s="32"/>
      <c r="I49" s="36"/>
      <c r="J49" s="11"/>
      <c r="K49" s="32"/>
      <c r="L49" s="32"/>
      <c r="M49" s="32"/>
      <c r="N49" s="32"/>
      <c r="O49" s="32"/>
      <c r="P49" s="32"/>
      <c r="Q49" s="36"/>
      <c r="R49" s="11"/>
      <c r="S49" s="32"/>
      <c r="T49" s="32"/>
      <c r="U49" s="32"/>
      <c r="V49" s="32"/>
      <c r="W49" s="32"/>
      <c r="X49" s="32"/>
      <c r="Y49" s="36"/>
      <c r="Z49" s="11"/>
      <c r="AA49" s="32"/>
      <c r="AB49" s="32"/>
      <c r="AC49" s="32"/>
      <c r="AD49" s="32"/>
      <c r="AE49" s="32"/>
      <c r="AF49" s="32"/>
      <c r="AG49" s="36"/>
      <c r="AH49" s="11"/>
      <c r="AI49" s="32"/>
      <c r="AJ49" s="32"/>
      <c r="AK49" s="32"/>
      <c r="AL49" s="36"/>
      <c r="AM49" s="11"/>
      <c r="AO49" s="35" t="s">
        <v>3</v>
      </c>
      <c r="AP49" s="34">
        <f>J51+R51+Z51+AH51</f>
        <v>62180</v>
      </c>
    </row>
    <row r="50" spans="2:46" ht="15.6" x14ac:dyDescent="0.3">
      <c r="B50" s="29" t="s">
        <v>13</v>
      </c>
      <c r="C50" s="32"/>
      <c r="D50" s="32"/>
      <c r="E50" s="32"/>
      <c r="F50" s="32"/>
      <c r="H50" s="32"/>
      <c r="I50" s="4">
        <f>I48+I19</f>
        <v>1055</v>
      </c>
      <c r="J50" s="28">
        <f>J48+J19</f>
        <v>76908</v>
      </c>
      <c r="K50" s="32"/>
      <c r="L50" s="32"/>
      <c r="M50" s="32"/>
      <c r="N50" s="32"/>
      <c r="O50" s="32"/>
      <c r="P50" s="32"/>
      <c r="Q50" s="4">
        <f>Q48+Q19</f>
        <v>964</v>
      </c>
      <c r="R50" s="28">
        <f>R48+R19</f>
        <v>68792</v>
      </c>
      <c r="S50" s="11">
        <f>R50/Q50</f>
        <v>71.360995850622402</v>
      </c>
      <c r="T50" s="32"/>
      <c r="U50" s="32"/>
      <c r="W50" s="32"/>
      <c r="X50" s="11">
        <f>Z50/Y50</f>
        <v>80.238095238095241</v>
      </c>
      <c r="Y50" s="4">
        <f>Y48+Y19</f>
        <v>2268</v>
      </c>
      <c r="Z50" s="28">
        <f>Z48+Z19</f>
        <v>181980</v>
      </c>
      <c r="AA50" s="32"/>
      <c r="AC50" s="32"/>
      <c r="AD50" s="32"/>
      <c r="AE50" s="32"/>
      <c r="AF50" s="11">
        <f>AH50/AG50</f>
        <v>68.633285302593663</v>
      </c>
      <c r="AG50" s="4">
        <f>AG48+AG19</f>
        <v>1388</v>
      </c>
      <c r="AH50" s="28">
        <f>AH48+AH19</f>
        <v>95263</v>
      </c>
      <c r="AI50" s="32"/>
      <c r="AJ50" s="32"/>
      <c r="AK50" s="11">
        <f>AM50/AL50</f>
        <v>77.430997876857745</v>
      </c>
      <c r="AL50" s="4">
        <f>AL48+AL19</f>
        <v>471</v>
      </c>
      <c r="AM50" s="28">
        <f>AM48+AM19</f>
        <v>36470</v>
      </c>
    </row>
    <row r="51" spans="2:46" ht="15.6" x14ac:dyDescent="0.3">
      <c r="B51" s="29" t="s">
        <v>15</v>
      </c>
      <c r="C51" s="32"/>
      <c r="D51" s="32"/>
      <c r="E51" s="32"/>
      <c r="F51" s="32"/>
      <c r="G51" s="32"/>
      <c r="H51" s="32"/>
      <c r="I51" s="4">
        <f>SUM(I44:I46)</f>
        <v>209</v>
      </c>
      <c r="J51" s="28">
        <f>SUM(J44:J46)</f>
        <v>19507</v>
      </c>
      <c r="K51" s="32"/>
      <c r="L51" s="32"/>
      <c r="M51" s="32"/>
      <c r="N51" s="32"/>
      <c r="O51" s="32"/>
      <c r="P51" s="32"/>
      <c r="Q51" s="4">
        <f>SUM(Q44:Q46)</f>
        <v>182</v>
      </c>
      <c r="R51" s="28">
        <f>SUM(R44:R46)</f>
        <v>17026</v>
      </c>
      <c r="S51" s="32"/>
      <c r="T51" s="32"/>
      <c r="U51" s="32"/>
      <c r="V51" s="32"/>
      <c r="W51" s="32"/>
      <c r="X51" s="32"/>
      <c r="Y51" s="4">
        <f>SUM(Y44:Y46)</f>
        <v>213</v>
      </c>
      <c r="Z51" s="28">
        <f>SUM(Z44:Z46)</f>
        <v>19984</v>
      </c>
      <c r="AA51" s="32"/>
      <c r="AB51" s="32"/>
      <c r="AC51" s="32"/>
      <c r="AD51" s="32"/>
      <c r="AE51" s="32"/>
      <c r="AF51" s="32"/>
      <c r="AG51" s="4">
        <f>SUM(AG44:AG46)</f>
        <v>61</v>
      </c>
      <c r="AH51" s="28">
        <f>SUM(AH44:AH46)</f>
        <v>5663</v>
      </c>
      <c r="AI51" s="32"/>
      <c r="AJ51" s="32"/>
      <c r="AK51" s="32"/>
      <c r="AL51" s="4">
        <f>SUM(AL44:AL46)</f>
        <v>88</v>
      </c>
      <c r="AM51" s="28">
        <f>SUM(AM44:AM46)</f>
        <v>8106</v>
      </c>
      <c r="AO51" s="27" t="s">
        <v>14</v>
      </c>
      <c r="AP51" s="31">
        <f>I52+Q52+Y52+AG52</f>
        <v>421</v>
      </c>
      <c r="AQ51" s="30">
        <f>AP52/AP51</f>
        <v>52</v>
      </c>
    </row>
    <row r="52" spans="2:46" ht="15.6" x14ac:dyDescent="0.3">
      <c r="B52" s="29" t="s">
        <v>14</v>
      </c>
      <c r="I52" s="4">
        <f>I47</f>
        <v>85</v>
      </c>
      <c r="J52" s="28">
        <f>J47</f>
        <v>4420</v>
      </c>
      <c r="K52" s="32"/>
      <c r="Q52" s="4">
        <f>Q47</f>
        <v>167</v>
      </c>
      <c r="R52" s="28">
        <f>R47</f>
        <v>8684</v>
      </c>
      <c r="Y52" s="4">
        <f>Y47</f>
        <v>94</v>
      </c>
      <c r="Z52" s="28">
        <f>Z47</f>
        <v>4888</v>
      </c>
      <c r="AG52" s="4">
        <f>AG47</f>
        <v>75</v>
      </c>
      <c r="AH52" s="28">
        <f>AH47</f>
        <v>3900</v>
      </c>
      <c r="AL52" s="4">
        <f>AL47</f>
        <v>4</v>
      </c>
      <c r="AM52" s="28">
        <f>AM47</f>
        <v>208</v>
      </c>
      <c r="AO52" s="27" t="s">
        <v>3</v>
      </c>
      <c r="AP52" s="26">
        <f>J52+R52+Z52+AH52</f>
        <v>21892</v>
      </c>
    </row>
    <row r="53" spans="2:46" ht="15.6" x14ac:dyDescent="0.3">
      <c r="K53" s="32"/>
    </row>
    <row r="55" spans="2:46" s="22" customFormat="1" ht="13.8" customHeight="1" x14ac:dyDescent="0.3">
      <c r="B55" s="25" t="s">
        <v>13</v>
      </c>
      <c r="C55" s="24">
        <v>45992</v>
      </c>
      <c r="D55" s="24">
        <v>45993</v>
      </c>
      <c r="E55" s="24">
        <v>45994</v>
      </c>
      <c r="F55" s="24">
        <v>45995</v>
      </c>
      <c r="G55" s="24">
        <v>45996</v>
      </c>
      <c r="H55" s="24">
        <v>45997</v>
      </c>
      <c r="I55" s="23" t="s">
        <v>12</v>
      </c>
      <c r="J55" s="23" t="s">
        <v>11</v>
      </c>
      <c r="K55" s="24">
        <v>45999</v>
      </c>
      <c r="L55" s="24">
        <v>46000</v>
      </c>
      <c r="M55" s="24">
        <v>46001</v>
      </c>
      <c r="N55" s="24">
        <v>46002</v>
      </c>
      <c r="O55" s="24">
        <v>46003</v>
      </c>
      <c r="P55" s="24">
        <v>46004</v>
      </c>
      <c r="Q55" s="23" t="s">
        <v>12</v>
      </c>
      <c r="R55" s="23" t="s">
        <v>11</v>
      </c>
      <c r="S55" s="24">
        <v>46006</v>
      </c>
      <c r="T55" s="24">
        <v>46007</v>
      </c>
      <c r="U55" s="24">
        <v>46008</v>
      </c>
      <c r="V55" s="24">
        <v>46009</v>
      </c>
      <c r="W55" s="24">
        <v>46010</v>
      </c>
      <c r="X55" s="24">
        <v>46011</v>
      </c>
      <c r="Y55" s="23" t="s">
        <v>12</v>
      </c>
      <c r="Z55" s="23" t="s">
        <v>11</v>
      </c>
      <c r="AA55" s="24">
        <v>46013</v>
      </c>
      <c r="AB55" s="24">
        <v>46014</v>
      </c>
      <c r="AC55" s="24">
        <v>46015</v>
      </c>
      <c r="AD55" s="24">
        <v>46016</v>
      </c>
      <c r="AE55" s="24">
        <v>46017</v>
      </c>
      <c r="AF55" s="24">
        <v>46018</v>
      </c>
      <c r="AG55" s="23" t="s">
        <v>12</v>
      </c>
      <c r="AH55" s="23" t="s">
        <v>11</v>
      </c>
      <c r="AI55" s="24">
        <v>46020</v>
      </c>
      <c r="AJ55" s="24">
        <v>46021</v>
      </c>
      <c r="AK55" s="24">
        <v>46022</v>
      </c>
      <c r="AL55" s="23" t="s">
        <v>12</v>
      </c>
      <c r="AM55" s="23" t="s">
        <v>11</v>
      </c>
    </row>
    <row r="56" spans="2:46" ht="15" customHeight="1" x14ac:dyDescent="0.3">
      <c r="B56" s="17" t="s">
        <v>10</v>
      </c>
      <c r="C56" s="16">
        <v>150</v>
      </c>
      <c r="D56" s="16">
        <v>129</v>
      </c>
      <c r="E56" s="16">
        <v>190</v>
      </c>
      <c r="F56" s="16">
        <v>98</v>
      </c>
      <c r="G56" s="16"/>
      <c r="H56" s="16">
        <v>285</v>
      </c>
      <c r="I56" s="15">
        <f t="shared" ref="I56:I61" si="11">SUM(C56:H56)</f>
        <v>852</v>
      </c>
      <c r="J56" s="14">
        <f>I56*95</f>
        <v>80940</v>
      </c>
      <c r="K56" s="62"/>
      <c r="L56" s="62"/>
      <c r="M56" s="16">
        <v>101</v>
      </c>
      <c r="N56" s="16">
        <v>245</v>
      </c>
      <c r="O56" s="16">
        <v>310</v>
      </c>
      <c r="P56" s="16">
        <v>490</v>
      </c>
      <c r="Q56" s="15">
        <f t="shared" ref="Q56:Q61" si="12">SUM(K56:P56)</f>
        <v>1146</v>
      </c>
      <c r="R56" s="14">
        <f>Q56*95</f>
        <v>108870</v>
      </c>
      <c r="S56" s="16">
        <v>283</v>
      </c>
      <c r="T56" s="16">
        <v>49</v>
      </c>
      <c r="U56" s="16">
        <v>245</v>
      </c>
      <c r="V56" s="16">
        <v>70</v>
      </c>
      <c r="W56" s="16">
        <v>50</v>
      </c>
      <c r="X56" s="16">
        <v>50</v>
      </c>
      <c r="Y56" s="15">
        <f t="shared" ref="Y56:Y61" si="13">SUM(S56:X56)</f>
        <v>747</v>
      </c>
      <c r="Z56" s="14">
        <f>Y56*95</f>
        <v>70965</v>
      </c>
      <c r="AA56" s="16">
        <v>186</v>
      </c>
      <c r="AB56" s="16">
        <v>254</v>
      </c>
      <c r="AC56" s="16">
        <v>33</v>
      </c>
      <c r="AD56" s="62"/>
      <c r="AE56" s="16"/>
      <c r="AF56" s="16"/>
      <c r="AG56" s="15">
        <f t="shared" ref="AG56:AG61" si="14">SUM(AA56:AF56)</f>
        <v>473</v>
      </c>
      <c r="AH56" s="14">
        <f>AG56*95</f>
        <v>44935</v>
      </c>
      <c r="AI56" s="16">
        <v>81</v>
      </c>
      <c r="AJ56" s="16"/>
      <c r="AK56" s="16">
        <v>32</v>
      </c>
      <c r="AL56" s="15">
        <f t="shared" ref="AL56:AL61" si="15">SUM(AF56:AK56)</f>
        <v>45521</v>
      </c>
      <c r="AM56" s="14">
        <f>AL56*95</f>
        <v>4324495</v>
      </c>
    </row>
    <row r="57" spans="2:46" x14ac:dyDescent="0.3">
      <c r="B57" s="17" t="s">
        <v>9</v>
      </c>
      <c r="C57" s="16"/>
      <c r="D57" s="16">
        <v>268</v>
      </c>
      <c r="E57" s="16">
        <v>215</v>
      </c>
      <c r="F57" s="16">
        <v>158</v>
      </c>
      <c r="G57" s="16"/>
      <c r="H57" s="16">
        <v>370</v>
      </c>
      <c r="I57" s="15">
        <f t="shared" si="11"/>
        <v>1011</v>
      </c>
      <c r="J57" s="14">
        <f>I57*93</f>
        <v>94023</v>
      </c>
      <c r="K57" s="62"/>
      <c r="L57" s="62"/>
      <c r="M57" s="16">
        <v>74</v>
      </c>
      <c r="N57" s="16">
        <v>215</v>
      </c>
      <c r="O57" s="16">
        <v>285</v>
      </c>
      <c r="P57" s="16">
        <v>680</v>
      </c>
      <c r="Q57" s="15">
        <f t="shared" si="12"/>
        <v>1254</v>
      </c>
      <c r="R57" s="14">
        <f>Q57*93</f>
        <v>116622</v>
      </c>
      <c r="S57" s="16">
        <v>114</v>
      </c>
      <c r="T57" s="16">
        <v>57</v>
      </c>
      <c r="U57" s="16">
        <v>230</v>
      </c>
      <c r="V57" s="16">
        <v>70</v>
      </c>
      <c r="W57" s="16">
        <v>100</v>
      </c>
      <c r="X57" s="16">
        <v>50</v>
      </c>
      <c r="Y57" s="15">
        <f t="shared" si="13"/>
        <v>621</v>
      </c>
      <c r="Z57" s="14">
        <f>Y57*93</f>
        <v>57753</v>
      </c>
      <c r="AA57" s="16">
        <v>150</v>
      </c>
      <c r="AB57" s="16">
        <v>257</v>
      </c>
      <c r="AC57" s="16">
        <v>50</v>
      </c>
      <c r="AD57" s="62"/>
      <c r="AE57" s="16"/>
      <c r="AF57" s="16"/>
      <c r="AG57" s="15">
        <f t="shared" si="14"/>
        <v>457</v>
      </c>
      <c r="AH57" s="14">
        <f>AG57*93</f>
        <v>42501</v>
      </c>
      <c r="AI57" s="16">
        <v>100</v>
      </c>
      <c r="AJ57" s="16"/>
      <c r="AK57" s="16">
        <v>28</v>
      </c>
      <c r="AL57" s="15">
        <f t="shared" si="15"/>
        <v>43086</v>
      </c>
      <c r="AM57" s="14">
        <f>AL57*93</f>
        <v>4006998</v>
      </c>
    </row>
    <row r="58" spans="2:46" ht="15.6" x14ac:dyDescent="0.3">
      <c r="B58" s="17" t="s">
        <v>8</v>
      </c>
      <c r="C58" s="16">
        <v>35</v>
      </c>
      <c r="D58" s="16">
        <v>32</v>
      </c>
      <c r="E58" s="16">
        <v>20</v>
      </c>
      <c r="F58" s="16">
        <v>76</v>
      </c>
      <c r="G58" s="16"/>
      <c r="H58" s="16">
        <v>36</v>
      </c>
      <c r="I58" s="15">
        <f t="shared" si="11"/>
        <v>199</v>
      </c>
      <c r="J58" s="14">
        <f>I58*95</f>
        <v>18905</v>
      </c>
      <c r="K58" s="62"/>
      <c r="L58" s="62"/>
      <c r="M58" s="16">
        <v>61</v>
      </c>
      <c r="N58" s="16">
        <v>75</v>
      </c>
      <c r="O58" s="16">
        <v>64</v>
      </c>
      <c r="P58" s="16">
        <v>150</v>
      </c>
      <c r="Q58" s="15">
        <f t="shared" si="12"/>
        <v>350</v>
      </c>
      <c r="R58" s="14">
        <f>Q58*95</f>
        <v>33250</v>
      </c>
      <c r="S58" s="16">
        <v>48</v>
      </c>
      <c r="T58" s="16">
        <v>20</v>
      </c>
      <c r="U58" s="16">
        <v>47</v>
      </c>
      <c r="V58" s="16">
        <v>15</v>
      </c>
      <c r="W58" s="16">
        <v>15</v>
      </c>
      <c r="X58" s="16">
        <v>17</v>
      </c>
      <c r="Y58" s="15">
        <f t="shared" si="13"/>
        <v>162</v>
      </c>
      <c r="Z58" s="14">
        <f>Y58*95</f>
        <v>15390</v>
      </c>
      <c r="AA58" s="16">
        <v>36</v>
      </c>
      <c r="AB58" s="16">
        <v>52</v>
      </c>
      <c r="AC58" s="16"/>
      <c r="AD58" s="62"/>
      <c r="AE58" s="16"/>
      <c r="AF58" s="16">
        <v>20</v>
      </c>
      <c r="AG58" s="15">
        <f t="shared" si="14"/>
        <v>108</v>
      </c>
      <c r="AH58" s="14">
        <f>AG58*95</f>
        <v>10260</v>
      </c>
      <c r="AI58" s="16">
        <v>36</v>
      </c>
      <c r="AJ58" s="16"/>
      <c r="AK58" s="16">
        <v>7</v>
      </c>
      <c r="AL58" s="15">
        <f t="shared" si="15"/>
        <v>10431</v>
      </c>
      <c r="AM58" s="14">
        <f>AL58*95</f>
        <v>990945</v>
      </c>
      <c r="AO58" s="19" t="s">
        <v>7</v>
      </c>
      <c r="AP58" s="21">
        <f>I64+Q64+Y64+AG64</f>
        <v>7380</v>
      </c>
      <c r="AQ58" s="11">
        <f>AP59/AP58</f>
        <v>94.094037940379408</v>
      </c>
      <c r="AT58">
        <f>ABRIL!AO58-DICIEMBRE!AP58</f>
        <v>3049</v>
      </c>
    </row>
    <row r="59" spans="2:46" ht="15.6" x14ac:dyDescent="0.3">
      <c r="B59" s="17" t="s">
        <v>6</v>
      </c>
      <c r="C59" s="16"/>
      <c r="D59" s="16" t="s">
        <v>65</v>
      </c>
      <c r="E59" s="16">
        <v>10</v>
      </c>
      <c r="F59" s="16"/>
      <c r="G59" s="16"/>
      <c r="H59" s="16">
        <v>12</v>
      </c>
      <c r="I59" s="15">
        <f t="shared" si="11"/>
        <v>22</v>
      </c>
      <c r="J59" s="14">
        <f>I59*79</f>
        <v>1738</v>
      </c>
      <c r="K59" s="62"/>
      <c r="L59" s="62"/>
      <c r="M59" s="16">
        <v>5</v>
      </c>
      <c r="N59" s="16" t="s">
        <v>65</v>
      </c>
      <c r="O59" s="16" t="s">
        <v>65</v>
      </c>
      <c r="P59" s="16" t="s">
        <v>65</v>
      </c>
      <c r="Q59" s="15">
        <f t="shared" si="12"/>
        <v>5</v>
      </c>
      <c r="R59" s="14">
        <f>Q59*79</f>
        <v>395</v>
      </c>
      <c r="S59" s="16">
        <v>1</v>
      </c>
      <c r="T59" s="16" t="s">
        <v>65</v>
      </c>
      <c r="U59" s="16">
        <v>8</v>
      </c>
      <c r="V59" s="16" t="s">
        <v>65</v>
      </c>
      <c r="W59" s="16">
        <v>5</v>
      </c>
      <c r="X59" s="16"/>
      <c r="Y59" s="15">
        <f t="shared" si="13"/>
        <v>14</v>
      </c>
      <c r="Z59" s="14">
        <f>Y59*79</f>
        <v>1106</v>
      </c>
      <c r="AA59" s="16" t="s">
        <v>65</v>
      </c>
      <c r="AB59" s="16">
        <v>4</v>
      </c>
      <c r="AC59" s="16"/>
      <c r="AD59" s="62"/>
      <c r="AE59" s="16"/>
      <c r="AF59" s="16">
        <v>30</v>
      </c>
      <c r="AG59" s="15">
        <f t="shared" si="14"/>
        <v>34</v>
      </c>
      <c r="AH59" s="14">
        <f>AG59*79</f>
        <v>2686</v>
      </c>
      <c r="AI59" s="16">
        <v>5</v>
      </c>
      <c r="AJ59" s="16"/>
      <c r="AK59" s="16">
        <v>2</v>
      </c>
      <c r="AL59" s="15">
        <f t="shared" si="15"/>
        <v>2757</v>
      </c>
      <c r="AM59" s="14">
        <f>AL59*79</f>
        <v>217803</v>
      </c>
      <c r="AO59" s="19" t="s">
        <v>3</v>
      </c>
      <c r="AP59" s="18">
        <f>J64+R64+Z64+AH64</f>
        <v>694414</v>
      </c>
    </row>
    <row r="60" spans="2:46" x14ac:dyDescent="0.3">
      <c r="B60" s="17" t="s">
        <v>4</v>
      </c>
      <c r="C60" s="16">
        <v>200</v>
      </c>
      <c r="D60" s="16">
        <v>31</v>
      </c>
      <c r="E60" s="16">
        <v>66</v>
      </c>
      <c r="F60" s="16"/>
      <c r="G60" s="16"/>
      <c r="H60" s="16">
        <v>97</v>
      </c>
      <c r="I60" s="15">
        <f t="shared" si="11"/>
        <v>394</v>
      </c>
      <c r="J60" s="14">
        <f>I60*100</f>
        <v>39400</v>
      </c>
      <c r="K60" s="62"/>
      <c r="L60" s="62"/>
      <c r="M60" s="16">
        <v>20</v>
      </c>
      <c r="N60" s="16">
        <v>69</v>
      </c>
      <c r="O60" s="16">
        <v>42</v>
      </c>
      <c r="P60" s="16">
        <v>35</v>
      </c>
      <c r="Q60" s="15">
        <f t="shared" si="12"/>
        <v>166</v>
      </c>
      <c r="R60" s="14">
        <f>Q60*100</f>
        <v>16600</v>
      </c>
      <c r="S60" s="16">
        <v>1</v>
      </c>
      <c r="T60" s="16">
        <v>210</v>
      </c>
      <c r="U60" s="16">
        <v>53</v>
      </c>
      <c r="V60" s="16">
        <v>56</v>
      </c>
      <c r="W60" s="16">
        <v>15</v>
      </c>
      <c r="X60" s="16"/>
      <c r="Y60" s="15">
        <f t="shared" si="13"/>
        <v>335</v>
      </c>
      <c r="Z60" s="14">
        <f>Y60*100</f>
        <v>33500</v>
      </c>
      <c r="AA60" s="16">
        <v>80</v>
      </c>
      <c r="AB60" s="16">
        <v>80</v>
      </c>
      <c r="AC60" s="16"/>
      <c r="AD60" s="62"/>
      <c r="AE60" s="16"/>
      <c r="AF60" s="16"/>
      <c r="AG60" s="15">
        <f t="shared" si="14"/>
        <v>160</v>
      </c>
      <c r="AH60" s="14">
        <f>AG60*100</f>
        <v>16000</v>
      </c>
      <c r="AI60" s="16">
        <v>27</v>
      </c>
      <c r="AJ60" s="16"/>
      <c r="AK60" s="16">
        <v>3</v>
      </c>
      <c r="AL60" s="15">
        <f t="shared" si="15"/>
        <v>16190</v>
      </c>
      <c r="AM60" s="14">
        <f>AL60*100</f>
        <v>1619000</v>
      </c>
    </row>
    <row r="61" spans="2:46" ht="15.6" x14ac:dyDescent="0.3">
      <c r="B61" s="17" t="s">
        <v>5</v>
      </c>
      <c r="C61" s="16"/>
      <c r="D61" s="16">
        <v>100</v>
      </c>
      <c r="E61" s="16"/>
      <c r="F61" s="16">
        <v>100</v>
      </c>
      <c r="G61" s="16"/>
      <c r="H61" s="16"/>
      <c r="I61" s="15">
        <f t="shared" si="11"/>
        <v>200</v>
      </c>
      <c r="J61" s="14">
        <f>I61*90</f>
        <v>18000</v>
      </c>
      <c r="K61" s="62"/>
      <c r="L61" s="62"/>
      <c r="M61" s="16">
        <v>10</v>
      </c>
      <c r="N61" s="16"/>
      <c r="O61" s="16"/>
      <c r="P61" s="16">
        <v>19</v>
      </c>
      <c r="Q61" s="15">
        <f t="shared" si="12"/>
        <v>29</v>
      </c>
      <c r="R61" s="14">
        <f>Q61*100</f>
        <v>2900</v>
      </c>
      <c r="S61" s="16"/>
      <c r="T61" s="16"/>
      <c r="U61" s="16">
        <v>3</v>
      </c>
      <c r="V61" s="16"/>
      <c r="W61" s="16"/>
      <c r="X61" s="16"/>
      <c r="Y61" s="15">
        <f t="shared" si="13"/>
        <v>3</v>
      </c>
      <c r="Z61" s="14">
        <f>Y61*90</f>
        <v>270</v>
      </c>
      <c r="AA61" s="16"/>
      <c r="AB61" s="16">
        <v>1</v>
      </c>
      <c r="AC61" s="16"/>
      <c r="AD61" s="62"/>
      <c r="AE61" s="16"/>
      <c r="AF61" s="16"/>
      <c r="AG61" s="15">
        <f t="shared" si="14"/>
        <v>1</v>
      </c>
      <c r="AH61" s="14">
        <f>AG61*90</f>
        <v>90</v>
      </c>
      <c r="AI61" s="16"/>
      <c r="AJ61" s="16"/>
      <c r="AK61" s="16" t="s">
        <v>65</v>
      </c>
      <c r="AL61" s="15">
        <f t="shared" si="15"/>
        <v>91</v>
      </c>
      <c r="AM61" s="14">
        <f>AL61*90</f>
        <v>8190</v>
      </c>
      <c r="AO61" s="13" t="s">
        <v>4</v>
      </c>
      <c r="AP61" s="12">
        <f>I60+Q60+Y60+AG60</f>
        <v>1055</v>
      </c>
      <c r="AQ61" s="11">
        <f>AP62/AP61</f>
        <v>100</v>
      </c>
    </row>
    <row r="62" spans="2:46" ht="15.6" x14ac:dyDescent="0.3">
      <c r="C62" s="10"/>
      <c r="D62" s="10"/>
      <c r="E62" s="10"/>
      <c r="F62" s="10"/>
      <c r="G62" s="10"/>
      <c r="H62" s="10"/>
      <c r="I62" s="9">
        <f>SUM(I56:I61)</f>
        <v>2678</v>
      </c>
      <c r="J62" s="8">
        <f>SUM(J56:J61)</f>
        <v>253006</v>
      </c>
      <c r="K62" s="10"/>
      <c r="L62" s="10"/>
      <c r="M62" s="10"/>
      <c r="N62" s="10"/>
      <c r="O62" s="10"/>
      <c r="P62" s="10"/>
      <c r="Q62" s="9">
        <f>SUM(Q56:Q61)</f>
        <v>2950</v>
      </c>
      <c r="R62" s="8">
        <f>SUM(R56:R61)</f>
        <v>278637</v>
      </c>
      <c r="S62" s="10"/>
      <c r="T62" s="10"/>
      <c r="U62" s="10"/>
      <c r="V62" s="10"/>
      <c r="W62" s="10"/>
      <c r="X62" s="10"/>
      <c r="Y62" s="9">
        <f>SUM(Y56:Y61)</f>
        <v>1882</v>
      </c>
      <c r="Z62" s="8">
        <f>SUM(Z56:Z61)</f>
        <v>178984</v>
      </c>
      <c r="AA62" s="10"/>
      <c r="AB62" s="10"/>
      <c r="AC62" s="10"/>
      <c r="AD62" s="10"/>
      <c r="AE62" s="10"/>
      <c r="AF62" s="10"/>
      <c r="AG62" s="9">
        <f>SUM(AG56:AG61)</f>
        <v>1233</v>
      </c>
      <c r="AH62" s="8">
        <f>SUM(AH56:AH61)</f>
        <v>116472</v>
      </c>
      <c r="AI62" s="10"/>
      <c r="AJ62" s="10"/>
      <c r="AK62" s="10"/>
      <c r="AL62" s="9">
        <f>SUM(AL56:AL61)</f>
        <v>118076</v>
      </c>
      <c r="AM62" s="8">
        <f>SUM(AM56:AM61)</f>
        <v>11167431</v>
      </c>
      <c r="AO62" s="7" t="s">
        <v>3</v>
      </c>
      <c r="AP62" s="6">
        <f>Z60+J60+R60+AH60</f>
        <v>105500</v>
      </c>
    </row>
    <row r="64" spans="2:46" ht="15.6" x14ac:dyDescent="0.3">
      <c r="I64" s="4">
        <f>I56+I57+I58</f>
        <v>2062</v>
      </c>
      <c r="J64" s="3">
        <f>J56+J57+J58</f>
        <v>193868</v>
      </c>
      <c r="Q64" s="4">
        <f>Q56+Q57+Q58</f>
        <v>2750</v>
      </c>
      <c r="R64" s="3">
        <f>R56+R57+R58</f>
        <v>258742</v>
      </c>
      <c r="Y64" s="4">
        <f>Y56+Y57+Y58</f>
        <v>1530</v>
      </c>
      <c r="Z64" s="3">
        <f>Z56+Z57+Z58</f>
        <v>144108</v>
      </c>
      <c r="AG64" s="4">
        <f>AG56+AG57+AG58</f>
        <v>1038</v>
      </c>
      <c r="AH64" s="3">
        <f>AH56+AH57+AH58</f>
        <v>97696</v>
      </c>
      <c r="AL64" s="4">
        <f>AL56+AL57+AL58</f>
        <v>99038</v>
      </c>
      <c r="AM64" s="3">
        <f>AM56+AM57+AM58</f>
        <v>9322438</v>
      </c>
    </row>
    <row r="66" spans="41:42" x14ac:dyDescent="0.3">
      <c r="AO66" s="2" t="s">
        <v>1</v>
      </c>
      <c r="AP66" s="1">
        <f>AP62+AP59+AP20+AP52+AP49</f>
        <v>1306929</v>
      </c>
    </row>
  </sheetData>
  <mergeCells count="2">
    <mergeCell ref="AT3:AU3"/>
    <mergeCell ref="AO24:AP24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2025-01-02T20:26:17Z</dcterms:created>
  <dcterms:modified xsi:type="dcterms:W3CDTF">2026-01-02T14:58:09Z</dcterms:modified>
</cp:coreProperties>
</file>